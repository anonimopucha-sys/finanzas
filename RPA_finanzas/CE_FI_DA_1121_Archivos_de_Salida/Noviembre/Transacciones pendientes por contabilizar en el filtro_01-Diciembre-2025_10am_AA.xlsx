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5722B8C3-83C5-420F-ABAC-22BF673E120B}" xr6:coauthVersionLast="47" xr6:coauthVersionMax="47" xr10:uidLastSave="{00000000-0000-0000-0000-000000000000}"/>
  <bookViews>
    <workbookView xWindow="28680" yWindow="-120" windowWidth="24240" windowHeight="13020" xr2:uid="{FCC68795-B2DC-418B-9E85-0BC5FAEDB135}"/>
  </bookViews>
  <sheets>
    <sheet name="TD" sheetId="2" r:id="rId1"/>
    <sheet name="Trans. Pte x Contabilizar" sheetId="1" r:id="rId2"/>
  </sheets>
  <externalReferences>
    <externalReference r:id="rId3"/>
  </externalReferences>
  <definedNames>
    <definedName name="_xlnm._FilterDatabase" localSheetId="1" hidden="1">'Trans. Pte x Contabilizar'!$A$1:$AB$406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6" i="1" l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</calcChain>
</file>

<file path=xl/sharedStrings.xml><?xml version="1.0" encoding="utf-8"?>
<sst xmlns="http://schemas.openxmlformats.org/spreadsheetml/2006/main" count="7486" uniqueCount="180">
  <si>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</si>
  <si>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</si>
  <si>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</si>
  <si>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</si>
  <si>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</si>
  <si>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</si>
  <si>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</si>
  <si>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</si>
  <si>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</si>
  <si>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</si>
  <si>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</si>
  <si>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</si>
  <si>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</si>
  <si>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</si>
  <si>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</si>
  <si>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</si>
  <si>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</si>
  <si>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</si>
  <si>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</si>
  <si>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</si>
  <si>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</si>
  <si>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</si>
  <si>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</si>
  <si>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</si>
  <si>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</si>
  <si>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</si>
  <si>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Distrib.Preactivo-Act.Operativ</t>
  </si>
  <si>
    <t>AT</t>
  </si>
  <si>
    <t xml:space="preserve"> </t>
  </si>
  <si>
    <t>División de A/F</t>
  </si>
  <si>
    <t>33PLANPER015.161505.02041021</t>
  </si>
  <si>
    <t>AA</t>
  </si>
  <si>
    <t>00533</t>
  </si>
  <si>
    <t>G</t>
  </si>
  <si>
    <t xml:space="preserve">        0533.165002.02010101</t>
  </si>
  <si>
    <t>J4</t>
  </si>
  <si>
    <t>Interfaz Deuda JDE</t>
  </si>
  <si>
    <t>33REPOLINEAS.161515.02300456</t>
  </si>
  <si>
    <t>A</t>
  </si>
  <si>
    <t>00007699</t>
  </si>
  <si>
    <t>00598</t>
  </si>
  <si>
    <t>00007680</t>
  </si>
  <si>
    <t>00007737</t>
  </si>
  <si>
    <t>00007846</t>
  </si>
  <si>
    <t xml:space="preserve"> 333SOCANITA.161515.02300456</t>
  </si>
  <si>
    <t>00007681</t>
  </si>
  <si>
    <t>33NORMSEVILL.161514.02300356</t>
  </si>
  <si>
    <t>33SALTODPOZO.161515.02300456</t>
  </si>
  <si>
    <t>00034543</t>
  </si>
  <si>
    <t>00030731</t>
  </si>
  <si>
    <t>33INSUGUADUA.161515.02300456</t>
  </si>
  <si>
    <t>33SANROQSARD.161515.02300456</t>
  </si>
  <si>
    <t xml:space="preserve"> 33SUBTONCHA.161514.02300456</t>
  </si>
  <si>
    <t>AJ IVA RECONOC REQ000003175538</t>
  </si>
  <si>
    <t>JE</t>
  </si>
  <si>
    <t xml:space="preserve">    33MCIAPY.161505.02491054</t>
  </si>
  <si>
    <t>INDEMNIZACIÓN VEHÍCULO OWG638</t>
  </si>
  <si>
    <t>JH</t>
  </si>
  <si>
    <t xml:space="preserve">        0533.199999.02010103</t>
  </si>
  <si>
    <t xml:space="preserve">        0533.167502.02010101</t>
  </si>
  <si>
    <t>231823</t>
  </si>
  <si>
    <t>KZ</t>
  </si>
  <si>
    <t>KZ CODIGOS DUPLICADOS</t>
  </si>
  <si>
    <t xml:space="preserve">    33MCIAPY.161505.02491052</t>
  </si>
  <si>
    <t>N</t>
  </si>
  <si>
    <t>216262</t>
  </si>
  <si>
    <t>212993</t>
  </si>
  <si>
    <t>215169</t>
  </si>
  <si>
    <t>306772</t>
  </si>
  <si>
    <t xml:space="preserve">    33MCIAPY.161504.02491052</t>
  </si>
  <si>
    <t>231842</t>
  </si>
  <si>
    <t>284</t>
  </si>
  <si>
    <t>KZ SAPHIRO COD. MENORES 6 DIG.</t>
  </si>
  <si>
    <t xml:space="preserve">    33MCIAPY.161505.02491181</t>
  </si>
  <si>
    <t>337824</t>
  </si>
  <si>
    <t>1642</t>
  </si>
  <si>
    <t>Homologación Saphiro</t>
  </si>
  <si>
    <t xml:space="preserve">        0533.163507.02010101</t>
  </si>
  <si>
    <t>354303</t>
  </si>
  <si>
    <t xml:space="preserve">        0533.164512.02300267</t>
  </si>
  <si>
    <t>1527</t>
  </si>
  <si>
    <t>210883</t>
  </si>
  <si>
    <t>Servicios personales</t>
  </si>
  <si>
    <t>O1</t>
  </si>
  <si>
    <t>MONCADA SANCHEZ SERGIO</t>
  </si>
  <si>
    <t xml:space="preserve"> 331MTTODIST.161505.02030101</t>
  </si>
  <si>
    <t>O</t>
  </si>
  <si>
    <t>00029287</t>
  </si>
  <si>
    <t>GUTIERREZ BUENDIA ALBERTO</t>
  </si>
  <si>
    <t>00029288</t>
  </si>
  <si>
    <t>AGUACHICA</t>
  </si>
  <si>
    <t>OV</t>
  </si>
  <si>
    <t>BAEZ ANA CLOVIS</t>
  </si>
  <si>
    <t>00103973</t>
  </si>
  <si>
    <t>00104190</t>
  </si>
  <si>
    <t>BUCARAMANGA</t>
  </si>
  <si>
    <t>SERVHIMEC SAS</t>
  </si>
  <si>
    <t xml:space="preserve">    05337700.754002.01550101</t>
  </si>
  <si>
    <t>75685</t>
  </si>
  <si>
    <t>0789 P0779</t>
  </si>
  <si>
    <t>00104246</t>
  </si>
  <si>
    <t>00104350</t>
  </si>
  <si>
    <t>CUCUTA</t>
  </si>
  <si>
    <t>75692</t>
  </si>
  <si>
    <t>DR060051</t>
  </si>
  <si>
    <t>00104288</t>
  </si>
  <si>
    <t>COMPUTADOR PORTATIL 14"</t>
  </si>
  <si>
    <t>SUMIMAS S A S</t>
  </si>
  <si>
    <t xml:space="preserve">        0598.167002.02010102</t>
  </si>
  <si>
    <t>00104551</t>
  </si>
  <si>
    <t>WORKSTATION PORTATIL</t>
  </si>
  <si>
    <t>TRANSPORTES Y TALLERES</t>
  </si>
  <si>
    <t>GUERRERO ORTEGA FRANCISCO IGNA</t>
  </si>
  <si>
    <t>00104600</t>
  </si>
  <si>
    <t>SEGUROS GENERALES SURAMERICANA</t>
  </si>
  <si>
    <t>00104692</t>
  </si>
  <si>
    <t>OP Terrestre</t>
  </si>
  <si>
    <t>CUCUTA MOTOR'S S.A.S.</t>
  </si>
  <si>
    <t>00104706</t>
  </si>
  <si>
    <t>Indemnización activo 20611 hur</t>
  </si>
  <si>
    <t>00104729</t>
  </si>
  <si>
    <t>OCAÑA</t>
  </si>
  <si>
    <t>ENECON SOCIEDAD POR ACCIONES S</t>
  </si>
  <si>
    <t>331EXPREPRIC.161505.02051021</t>
  </si>
  <si>
    <t>00104756</t>
  </si>
  <si>
    <t>HACARI</t>
  </si>
  <si>
    <t>331EXPRESECC.161505.02041021</t>
  </si>
  <si>
    <t>00104757</t>
  </si>
  <si>
    <t>EL CARMEN</t>
  </si>
  <si>
    <t>331REPOPRIMC.161505.02052021</t>
  </si>
  <si>
    <t>00104758</t>
  </si>
  <si>
    <t>SAN CALIXTO</t>
  </si>
  <si>
    <t>LA PLAYA</t>
  </si>
  <si>
    <t>331REPOSECUC.161505.02042021</t>
  </si>
  <si>
    <t>00104759</t>
  </si>
  <si>
    <t>331EXPREPRIC.161505.02051022</t>
  </si>
  <si>
    <t>00104760</t>
  </si>
  <si>
    <t>331EXPRESECC.161505.02041022</t>
  </si>
  <si>
    <t>00104761</t>
  </si>
  <si>
    <t>331REPOPRIMC.161505.02052022</t>
  </si>
  <si>
    <t>00104762</t>
  </si>
  <si>
    <t>331REPOSECUC.161505.02042022</t>
  </si>
  <si>
    <t>00104763</t>
  </si>
  <si>
    <t>TRANSPORTE INTEGRAL NOR ORIENT</t>
  </si>
  <si>
    <t>331REPOPRIMC.161505.02052026</t>
  </si>
  <si>
    <t>00104754</t>
  </si>
  <si>
    <t>33REPOLINEAS.161505.02092026</t>
  </si>
  <si>
    <t>PV</t>
  </si>
  <si>
    <t>V</t>
  </si>
  <si>
    <t>00103860</t>
  </si>
  <si>
    <t>CONS. TECNICA/SERV. INGENIERIA</t>
  </si>
  <si>
    <t>UNION ELECTRICA SA</t>
  </si>
  <si>
    <t xml:space="preserve">    05337700.754001.01550101</t>
  </si>
  <si>
    <t>00104506</t>
  </si>
  <si>
    <t xml:space="preserve">    05347200.754001.01550101</t>
  </si>
  <si>
    <t>00534</t>
  </si>
  <si>
    <t>00104507</t>
  </si>
  <si>
    <t>MANTENIMIENTO DE SUBESTACIONES</t>
  </si>
  <si>
    <t>Indem daño activos año actu CP</t>
  </si>
  <si>
    <t>RI</t>
  </si>
  <si>
    <t xml:space="preserve">    05337700.580802.01300104</t>
  </si>
  <si>
    <t>IB</t>
  </si>
  <si>
    <t xml:space="preserve">    05337500.580802.01300104</t>
  </si>
  <si>
    <t>Dif. Siniestro/baja activo CP</t>
  </si>
  <si>
    <t>RESPONSABLE</t>
  </si>
  <si>
    <t>DISTRIBUCIÓN</t>
  </si>
  <si>
    <t>PROYECTOS</t>
  </si>
  <si>
    <t>SUBESTACIONES</t>
  </si>
  <si>
    <t>Explicación2</t>
  </si>
  <si>
    <t>Etiquetas de fila</t>
  </si>
  <si>
    <t>ALMACENES</t>
  </si>
  <si>
    <t>COMERCIAL</t>
  </si>
  <si>
    <t>T.I</t>
  </si>
  <si>
    <t>USSA - DIANA DAVILA</t>
  </si>
  <si>
    <t>USSA - FRANCISCO CONTRERAS</t>
  </si>
  <si>
    <t>USSA - GEOVANNY PALACIOS</t>
  </si>
  <si>
    <t>USSA - LAURA ESTEBAN</t>
  </si>
  <si>
    <t>USSA - MARIA FERNANDA RIVERA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</si>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</sst>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43" fontId="18" fillId="0" borderId="0" xfId="1" applyFont="1" applyFill="1" applyBorder="1" applyAlignment="1" applyProtection="1"/>
    <xf numFmtId="43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E_FI_DA_1121_Archivos_de_Salida\Noviembre\Transacciones%20pendientes%20por%20contabilizar%20en%20el%20filtro_30-Noviembre-2025_12pm_AA.xlsx" TargetMode="External"/><Relationship Id="rId1" Type="http://schemas.openxmlformats.org/officeDocument/2006/relationships/externalLinkPath" Target="Transacciones%20pendientes%20por%20contabilizar%20en%20el%20filtro_30-Noviembre-2025_12pm_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Trans Pte X Contabilizar"/>
    </sheetNames>
    <sheetDataSet>
      <sheetData sheetId="0"/>
      <sheetData sheetId="1">
        <row r="1">
          <cell r="A1" t="str">
            <v>Columna1</v>
          </cell>
          <cell r="B1" t="str">
            <v>RESPONSABLE</v>
          </cell>
        </row>
        <row r="2">
          <cell r="A2">
            <v>355853</v>
          </cell>
          <cell r="B2" t="str">
            <v>SUBESTACIONES</v>
          </cell>
        </row>
        <row r="3">
          <cell r="A3">
            <v>355853</v>
          </cell>
          <cell r="B3" t="str">
            <v>SUBESTACIONES</v>
          </cell>
        </row>
        <row r="4">
          <cell r="A4">
            <v>355854</v>
          </cell>
          <cell r="B4" t="str">
            <v>SUBESTACIONES</v>
          </cell>
        </row>
        <row r="5">
          <cell r="A5">
            <v>355854</v>
          </cell>
          <cell r="B5" t="str">
            <v>SUBESTACIONES</v>
          </cell>
        </row>
        <row r="6">
          <cell r="A6">
            <v>355855</v>
          </cell>
          <cell r="B6" t="str">
            <v>SUBESTACIONES</v>
          </cell>
        </row>
        <row r="7">
          <cell r="A7">
            <v>355855</v>
          </cell>
          <cell r="B7" t="str">
            <v>SUBESTACIONES</v>
          </cell>
        </row>
        <row r="8">
          <cell r="A8">
            <v>355873</v>
          </cell>
          <cell r="B8" t="str">
            <v>SUBESTACIONES</v>
          </cell>
        </row>
        <row r="9">
          <cell r="A9">
            <v>355873</v>
          </cell>
          <cell r="B9" t="str">
            <v>SUBESTACIONES</v>
          </cell>
        </row>
        <row r="10">
          <cell r="A10">
            <v>355873</v>
          </cell>
          <cell r="B10" t="str">
            <v>SUBESTACIONES</v>
          </cell>
        </row>
        <row r="11">
          <cell r="A11">
            <v>355873</v>
          </cell>
          <cell r="B11" t="str">
            <v>SUBESTACIONES</v>
          </cell>
        </row>
        <row r="12">
          <cell r="A12">
            <v>354149</v>
          </cell>
          <cell r="B12" t="str">
            <v>DISTRIBUCIÓN</v>
          </cell>
        </row>
        <row r="13">
          <cell r="A13">
            <v>354149</v>
          </cell>
          <cell r="B13" t="str">
            <v>DISTRIBUCIÓN</v>
          </cell>
        </row>
        <row r="14">
          <cell r="A14">
            <v>354149</v>
          </cell>
          <cell r="B14" t="str">
            <v>DISTRIBUCIÓN</v>
          </cell>
        </row>
        <row r="15">
          <cell r="A15">
            <v>354149</v>
          </cell>
          <cell r="B15" t="str">
            <v>DISTRIBUCIÓN</v>
          </cell>
        </row>
        <row r="16">
          <cell r="A16">
            <v>354150</v>
          </cell>
          <cell r="B16" t="str">
            <v>DISTRIBUCIÓN</v>
          </cell>
        </row>
        <row r="17">
          <cell r="A17">
            <v>354150</v>
          </cell>
          <cell r="B17" t="str">
            <v>DISTRIBUCIÓN</v>
          </cell>
        </row>
        <row r="18">
          <cell r="A18">
            <v>354150</v>
          </cell>
          <cell r="B18" t="str">
            <v>DISTRIBUCIÓN</v>
          </cell>
        </row>
        <row r="19">
          <cell r="A19">
            <v>354150</v>
          </cell>
          <cell r="B19" t="str">
            <v>DISTRIBUCIÓN</v>
          </cell>
        </row>
        <row r="20">
          <cell r="A20">
            <v>354166</v>
          </cell>
          <cell r="B20" t="str">
            <v>DISTRIBUCIÓN</v>
          </cell>
        </row>
        <row r="21">
          <cell r="A21">
            <v>354166</v>
          </cell>
          <cell r="B21" t="str">
            <v>DISTRIBUCIÓN</v>
          </cell>
        </row>
        <row r="22">
          <cell r="A22">
            <v>354166</v>
          </cell>
          <cell r="B22" t="str">
            <v>DISTRIBUCIÓN</v>
          </cell>
        </row>
        <row r="23">
          <cell r="A23">
            <v>354166</v>
          </cell>
          <cell r="B23" t="str">
            <v>DISTRIBUCIÓN</v>
          </cell>
        </row>
        <row r="24">
          <cell r="A24">
            <v>354166</v>
          </cell>
          <cell r="B24" t="str">
            <v>DISTRIBUCIÓN</v>
          </cell>
        </row>
        <row r="25">
          <cell r="A25">
            <v>354166</v>
          </cell>
          <cell r="B25" t="str">
            <v>DISTRIBUCIÓN</v>
          </cell>
        </row>
        <row r="26">
          <cell r="A26">
            <v>354166</v>
          </cell>
          <cell r="B26" t="str">
            <v>DISTRIBUCIÓN</v>
          </cell>
        </row>
        <row r="27">
          <cell r="A27">
            <v>354166</v>
          </cell>
          <cell r="B27" t="str">
            <v>DISTRIBUCIÓN</v>
          </cell>
        </row>
        <row r="28">
          <cell r="A28">
            <v>354166</v>
          </cell>
          <cell r="B28" t="str">
            <v>DISTRIBUCIÓN</v>
          </cell>
        </row>
        <row r="29">
          <cell r="A29">
            <v>354166</v>
          </cell>
          <cell r="B29" t="str">
            <v>DISTRIBUCIÓN</v>
          </cell>
        </row>
        <row r="30">
          <cell r="A30">
            <v>354166</v>
          </cell>
          <cell r="B30" t="str">
            <v>DISTRIBUCIÓN</v>
          </cell>
        </row>
        <row r="31">
          <cell r="A31">
            <v>354166</v>
          </cell>
          <cell r="B31" t="str">
            <v>DISTRIBUCIÓN</v>
          </cell>
        </row>
        <row r="32">
          <cell r="A32">
            <v>354166</v>
          </cell>
          <cell r="B32" t="str">
            <v>DISTRIBUCIÓN</v>
          </cell>
        </row>
        <row r="33">
          <cell r="A33">
            <v>354166</v>
          </cell>
          <cell r="B33" t="str">
            <v>DISTRIBUCIÓN</v>
          </cell>
        </row>
        <row r="34">
          <cell r="A34">
            <v>354291</v>
          </cell>
          <cell r="B34" t="str">
            <v>DISTRIBUCIÓN</v>
          </cell>
        </row>
        <row r="35">
          <cell r="A35">
            <v>354291</v>
          </cell>
          <cell r="B35" t="str">
            <v>DISTRIBUCIÓN</v>
          </cell>
        </row>
        <row r="36">
          <cell r="A36">
            <v>354291</v>
          </cell>
          <cell r="B36" t="str">
            <v>DISTRIBUCIÓN</v>
          </cell>
        </row>
        <row r="37">
          <cell r="A37">
            <v>354291</v>
          </cell>
          <cell r="B37" t="str">
            <v>DISTRIBUCIÓN</v>
          </cell>
        </row>
        <row r="38">
          <cell r="A38">
            <v>354291</v>
          </cell>
          <cell r="B38" t="str">
            <v>DISTRIBUCIÓN</v>
          </cell>
        </row>
        <row r="39">
          <cell r="A39">
            <v>354291</v>
          </cell>
          <cell r="B39" t="str">
            <v>DISTRIBUCIÓN</v>
          </cell>
        </row>
        <row r="40">
          <cell r="A40">
            <v>354291</v>
          </cell>
          <cell r="B40" t="str">
            <v>DISTRIBUCIÓN</v>
          </cell>
        </row>
        <row r="41">
          <cell r="A41">
            <v>354291</v>
          </cell>
          <cell r="B41" t="str">
            <v>DISTRIBUCIÓN</v>
          </cell>
        </row>
        <row r="42">
          <cell r="A42">
            <v>354291</v>
          </cell>
          <cell r="B42" t="str">
            <v>DISTRIBUCIÓN</v>
          </cell>
        </row>
        <row r="43">
          <cell r="A43">
            <v>354291</v>
          </cell>
          <cell r="B43" t="str">
            <v>DISTRIBUCIÓN</v>
          </cell>
        </row>
        <row r="44">
          <cell r="A44">
            <v>354291</v>
          </cell>
          <cell r="B44" t="str">
            <v>DISTRIBUCIÓN</v>
          </cell>
        </row>
        <row r="45">
          <cell r="A45">
            <v>354291</v>
          </cell>
          <cell r="B45" t="str">
            <v>DISTRIBUCIÓN</v>
          </cell>
        </row>
        <row r="46">
          <cell r="A46">
            <v>354291</v>
          </cell>
          <cell r="B46" t="str">
            <v>DISTRIBUCIÓN</v>
          </cell>
        </row>
        <row r="47">
          <cell r="A47">
            <v>354291</v>
          </cell>
          <cell r="B47" t="str">
            <v>DISTRIBUCIÓN</v>
          </cell>
        </row>
        <row r="48">
          <cell r="A48">
            <v>354291</v>
          </cell>
          <cell r="B48" t="str">
            <v>DISTRIBUCIÓN</v>
          </cell>
        </row>
        <row r="49">
          <cell r="A49">
            <v>354291</v>
          </cell>
          <cell r="B49" t="str">
            <v>DISTRIBUCIÓN</v>
          </cell>
        </row>
        <row r="50">
          <cell r="A50">
            <v>354291</v>
          </cell>
          <cell r="B50" t="str">
            <v>DISTRIBUCIÓN</v>
          </cell>
        </row>
        <row r="51">
          <cell r="A51">
            <v>354291</v>
          </cell>
          <cell r="B51" t="str">
            <v>DISTRIBUCIÓN</v>
          </cell>
        </row>
        <row r="52">
          <cell r="A52">
            <v>354291</v>
          </cell>
          <cell r="B52" t="str">
            <v>DISTRIBUCIÓN</v>
          </cell>
        </row>
        <row r="53">
          <cell r="A53">
            <v>354291</v>
          </cell>
          <cell r="B53" t="str">
            <v>DISTRIBUCIÓN</v>
          </cell>
        </row>
        <row r="54">
          <cell r="A54">
            <v>354291</v>
          </cell>
          <cell r="B54" t="str">
            <v>DISTRIBUCIÓN</v>
          </cell>
        </row>
        <row r="55">
          <cell r="A55">
            <v>354291</v>
          </cell>
          <cell r="B55" t="str">
            <v>DISTRIBUCIÓN</v>
          </cell>
        </row>
        <row r="56">
          <cell r="A56">
            <v>354291</v>
          </cell>
          <cell r="B56" t="str">
            <v>DISTRIBUCIÓN</v>
          </cell>
        </row>
        <row r="57">
          <cell r="A57">
            <v>354291</v>
          </cell>
          <cell r="B57" t="str">
            <v>DISTRIBUCIÓN</v>
          </cell>
        </row>
        <row r="58">
          <cell r="A58">
            <v>354291</v>
          </cell>
          <cell r="B58" t="str">
            <v>DISTRIBUCIÓN</v>
          </cell>
        </row>
        <row r="59">
          <cell r="A59">
            <v>354291</v>
          </cell>
          <cell r="B59" t="str">
            <v>DISTRIBUCIÓN</v>
          </cell>
        </row>
        <row r="60">
          <cell r="A60">
            <v>354291</v>
          </cell>
          <cell r="B60" t="str">
            <v>DISTRIBUCIÓN</v>
          </cell>
        </row>
        <row r="61">
          <cell r="A61">
            <v>354291</v>
          </cell>
          <cell r="B61" t="str">
            <v>DISTRIBUCIÓN</v>
          </cell>
        </row>
        <row r="62">
          <cell r="A62">
            <v>354291</v>
          </cell>
          <cell r="B62" t="str">
            <v>DISTRIBUCIÓN</v>
          </cell>
        </row>
        <row r="63">
          <cell r="A63">
            <v>354291</v>
          </cell>
          <cell r="B63" t="str">
            <v>DISTRIBUCIÓN</v>
          </cell>
        </row>
        <row r="64">
          <cell r="A64">
            <v>354291</v>
          </cell>
          <cell r="B64" t="str">
            <v>DISTRIBUCIÓN</v>
          </cell>
        </row>
        <row r="65">
          <cell r="A65">
            <v>354291</v>
          </cell>
          <cell r="B65" t="str">
            <v>DISTRIBUCIÓN</v>
          </cell>
        </row>
        <row r="66">
          <cell r="A66">
            <v>354291</v>
          </cell>
          <cell r="B66" t="str">
            <v>DISTRIBUCIÓN</v>
          </cell>
        </row>
        <row r="67">
          <cell r="A67">
            <v>354291</v>
          </cell>
          <cell r="B67" t="str">
            <v>DISTRIBUCIÓN</v>
          </cell>
        </row>
        <row r="68">
          <cell r="A68">
            <v>354291</v>
          </cell>
          <cell r="B68" t="str">
            <v>DISTRIBUCIÓN</v>
          </cell>
        </row>
        <row r="69">
          <cell r="A69">
            <v>354291</v>
          </cell>
          <cell r="B69" t="str">
            <v>DISTRIBUCIÓN</v>
          </cell>
        </row>
        <row r="70">
          <cell r="A70">
            <v>354291</v>
          </cell>
          <cell r="B70" t="str">
            <v>DISTRIBUCIÓN</v>
          </cell>
        </row>
        <row r="71">
          <cell r="A71">
            <v>354291</v>
          </cell>
          <cell r="B71" t="str">
            <v>DISTRIBUCIÓN</v>
          </cell>
        </row>
        <row r="72">
          <cell r="A72">
            <v>354291</v>
          </cell>
          <cell r="B72" t="str">
            <v>DISTRIBUCIÓN</v>
          </cell>
        </row>
        <row r="73">
          <cell r="A73">
            <v>354291</v>
          </cell>
          <cell r="B73" t="str">
            <v>DISTRIBUCIÓN</v>
          </cell>
        </row>
        <row r="74">
          <cell r="A74">
            <v>354291</v>
          </cell>
          <cell r="B74" t="str">
            <v>DISTRIBUCIÓN</v>
          </cell>
        </row>
        <row r="75">
          <cell r="A75">
            <v>354291</v>
          </cell>
          <cell r="B75" t="str">
            <v>DISTRIBUCIÓN</v>
          </cell>
        </row>
        <row r="76">
          <cell r="A76">
            <v>354291</v>
          </cell>
          <cell r="B76" t="str">
            <v>DISTRIBUCIÓN</v>
          </cell>
        </row>
        <row r="77">
          <cell r="A77">
            <v>354291</v>
          </cell>
          <cell r="B77" t="str">
            <v>DISTRIBUCIÓN</v>
          </cell>
        </row>
        <row r="78">
          <cell r="A78">
            <v>354291</v>
          </cell>
          <cell r="B78" t="str">
            <v>DISTRIBUCIÓN</v>
          </cell>
        </row>
        <row r="79">
          <cell r="A79">
            <v>354291</v>
          </cell>
          <cell r="B79" t="str">
            <v>DISTRIBUCIÓN</v>
          </cell>
        </row>
        <row r="80">
          <cell r="A80">
            <v>354291</v>
          </cell>
          <cell r="B80" t="str">
            <v>DISTRIBUCIÓN</v>
          </cell>
        </row>
        <row r="81">
          <cell r="A81">
            <v>354291</v>
          </cell>
          <cell r="B81" t="str">
            <v>DISTRIBUCIÓN</v>
          </cell>
        </row>
        <row r="82">
          <cell r="A82">
            <v>354291</v>
          </cell>
          <cell r="B82" t="str">
            <v>DISTRIBUCIÓN</v>
          </cell>
        </row>
        <row r="83">
          <cell r="A83">
            <v>354291</v>
          </cell>
          <cell r="B83" t="str">
            <v>DISTRIBUCIÓN</v>
          </cell>
        </row>
        <row r="84">
          <cell r="A84">
            <v>354291</v>
          </cell>
          <cell r="B84" t="str">
            <v>DISTRIBUCIÓN</v>
          </cell>
        </row>
        <row r="85">
          <cell r="A85">
            <v>354291</v>
          </cell>
          <cell r="B85" t="str">
            <v>DISTRIBUCIÓN</v>
          </cell>
        </row>
        <row r="86">
          <cell r="A86">
            <v>354291</v>
          </cell>
          <cell r="B86" t="str">
            <v>DISTRIBUCIÓN</v>
          </cell>
        </row>
        <row r="87">
          <cell r="A87">
            <v>354291</v>
          </cell>
          <cell r="B87" t="str">
            <v>DISTRIBUCIÓN</v>
          </cell>
        </row>
        <row r="88">
          <cell r="A88">
            <v>354291</v>
          </cell>
          <cell r="B88" t="str">
            <v>DISTRIBUCIÓN</v>
          </cell>
        </row>
        <row r="89">
          <cell r="A89">
            <v>354291</v>
          </cell>
          <cell r="B89" t="str">
            <v>DISTRIBUCIÓN</v>
          </cell>
        </row>
        <row r="90">
          <cell r="A90">
            <v>354291</v>
          </cell>
          <cell r="B90" t="str">
            <v>DISTRIBUCIÓN</v>
          </cell>
        </row>
        <row r="91">
          <cell r="A91">
            <v>354291</v>
          </cell>
          <cell r="B91" t="str">
            <v>DISTRIBUCIÓN</v>
          </cell>
        </row>
        <row r="92">
          <cell r="A92">
            <v>354291</v>
          </cell>
          <cell r="B92" t="str">
            <v>DISTRIBUCIÓN</v>
          </cell>
        </row>
        <row r="93">
          <cell r="A93">
            <v>354291</v>
          </cell>
          <cell r="B93" t="str">
            <v>DISTRIBUCIÓN</v>
          </cell>
        </row>
        <row r="94">
          <cell r="A94">
            <v>354291</v>
          </cell>
          <cell r="B94" t="str">
            <v>DISTRIBUCIÓN</v>
          </cell>
        </row>
        <row r="95">
          <cell r="A95">
            <v>354291</v>
          </cell>
          <cell r="B95" t="str">
            <v>DISTRIBUCIÓN</v>
          </cell>
        </row>
        <row r="96">
          <cell r="A96">
            <v>354291</v>
          </cell>
          <cell r="B96" t="str">
            <v>DISTRIBUCIÓN</v>
          </cell>
        </row>
        <row r="97">
          <cell r="A97">
            <v>354291</v>
          </cell>
          <cell r="B97" t="str">
            <v>DISTRIBUCIÓN</v>
          </cell>
        </row>
        <row r="98">
          <cell r="A98">
            <v>354291</v>
          </cell>
          <cell r="B98" t="str">
            <v>DISTRIBUCIÓN</v>
          </cell>
        </row>
        <row r="99">
          <cell r="A99">
            <v>354291</v>
          </cell>
          <cell r="B99" t="str">
            <v>DISTRIBUCIÓN</v>
          </cell>
        </row>
        <row r="100">
          <cell r="A100">
            <v>354291</v>
          </cell>
          <cell r="B100" t="str">
            <v>DISTRIBUCIÓN</v>
          </cell>
        </row>
        <row r="101">
          <cell r="A101">
            <v>354291</v>
          </cell>
          <cell r="B101" t="str">
            <v>DISTRIBUCIÓN</v>
          </cell>
        </row>
        <row r="102">
          <cell r="A102">
            <v>354291</v>
          </cell>
          <cell r="B102" t="str">
            <v>DISTRIBUCIÓN</v>
          </cell>
        </row>
        <row r="103">
          <cell r="A103">
            <v>354291</v>
          </cell>
          <cell r="B103" t="str">
            <v>DISTRIBUCIÓN</v>
          </cell>
        </row>
        <row r="104">
          <cell r="A104">
            <v>354291</v>
          </cell>
          <cell r="B104" t="str">
            <v>DISTRIBUCIÓN</v>
          </cell>
        </row>
        <row r="105">
          <cell r="A105">
            <v>354291</v>
          </cell>
          <cell r="B105" t="str">
            <v>DISTRIBUCIÓN</v>
          </cell>
        </row>
        <row r="106">
          <cell r="A106">
            <v>354291</v>
          </cell>
          <cell r="B106" t="str">
            <v>DISTRIBUCIÓN</v>
          </cell>
        </row>
        <row r="107">
          <cell r="A107">
            <v>354291</v>
          </cell>
          <cell r="B107" t="str">
            <v>DISTRIBUCIÓN</v>
          </cell>
        </row>
        <row r="108">
          <cell r="A108">
            <v>354291</v>
          </cell>
          <cell r="B108" t="str">
            <v>DISTRIBUCIÓN</v>
          </cell>
        </row>
        <row r="109">
          <cell r="A109">
            <v>354291</v>
          </cell>
          <cell r="B109" t="str">
            <v>DISTRIBUCIÓN</v>
          </cell>
        </row>
        <row r="110">
          <cell r="A110">
            <v>354291</v>
          </cell>
          <cell r="B110" t="str">
            <v>DISTRIBUCIÓN</v>
          </cell>
        </row>
        <row r="111">
          <cell r="A111">
            <v>354291</v>
          </cell>
          <cell r="B111" t="str">
            <v>DISTRIBUCIÓN</v>
          </cell>
        </row>
        <row r="112">
          <cell r="A112">
            <v>354291</v>
          </cell>
          <cell r="B112" t="str">
            <v>DISTRIBUCIÓN</v>
          </cell>
        </row>
        <row r="113">
          <cell r="A113">
            <v>354291</v>
          </cell>
          <cell r="B113" t="str">
            <v>DISTRIBUCIÓN</v>
          </cell>
        </row>
        <row r="114">
          <cell r="A114">
            <v>354291</v>
          </cell>
          <cell r="B114" t="str">
            <v>DISTRIBUCIÓN</v>
          </cell>
        </row>
        <row r="115">
          <cell r="A115">
            <v>354291</v>
          </cell>
          <cell r="B115" t="str">
            <v>DISTRIBUCIÓN</v>
          </cell>
        </row>
        <row r="116">
          <cell r="A116">
            <v>354291</v>
          </cell>
          <cell r="B116" t="str">
            <v>DISTRIBUCIÓN</v>
          </cell>
        </row>
        <row r="117">
          <cell r="A117">
            <v>354291</v>
          </cell>
          <cell r="B117" t="str">
            <v>DISTRIBUCIÓN</v>
          </cell>
        </row>
        <row r="118">
          <cell r="A118">
            <v>354291</v>
          </cell>
          <cell r="B118" t="str">
            <v>DISTRIBUCIÓN</v>
          </cell>
        </row>
        <row r="119">
          <cell r="A119">
            <v>354291</v>
          </cell>
          <cell r="B119" t="str">
            <v>DISTRIBUCIÓN</v>
          </cell>
        </row>
        <row r="120">
          <cell r="A120">
            <v>354291</v>
          </cell>
          <cell r="B120" t="str">
            <v>DISTRIBUCIÓN</v>
          </cell>
        </row>
        <row r="121">
          <cell r="A121">
            <v>354291</v>
          </cell>
          <cell r="B121" t="str">
            <v>DISTRIBUCIÓN</v>
          </cell>
        </row>
        <row r="122">
          <cell r="A122">
            <v>354291</v>
          </cell>
          <cell r="B122" t="str">
            <v>DISTRIBUCIÓN</v>
          </cell>
        </row>
        <row r="123">
          <cell r="A123">
            <v>354291</v>
          </cell>
          <cell r="B123" t="str">
            <v>DISTRIBUCIÓN</v>
          </cell>
        </row>
        <row r="124">
          <cell r="A124">
            <v>354291</v>
          </cell>
          <cell r="B124" t="str">
            <v>DISTRIBUCIÓN</v>
          </cell>
        </row>
        <row r="125">
          <cell r="A125">
            <v>354291</v>
          </cell>
          <cell r="B125" t="str">
            <v>DISTRIBUCIÓN</v>
          </cell>
        </row>
        <row r="126">
          <cell r="A126">
            <v>354291</v>
          </cell>
          <cell r="B126" t="str">
            <v>DISTRIBUCIÓN</v>
          </cell>
        </row>
        <row r="127">
          <cell r="A127">
            <v>354291</v>
          </cell>
          <cell r="B127" t="str">
            <v>DISTRIBUCIÓN</v>
          </cell>
        </row>
        <row r="128">
          <cell r="A128">
            <v>354419</v>
          </cell>
          <cell r="B128" t="str">
            <v>DISTRIBUCIÓN</v>
          </cell>
        </row>
        <row r="129">
          <cell r="A129">
            <v>354419</v>
          </cell>
          <cell r="B129" t="str">
            <v>DISTRIBUCIÓN</v>
          </cell>
        </row>
        <row r="130">
          <cell r="A130">
            <v>355862</v>
          </cell>
          <cell r="B130" t="str">
            <v>SUBESTACIONES</v>
          </cell>
        </row>
        <row r="131">
          <cell r="A131">
            <v>355862</v>
          </cell>
          <cell r="B131" t="str">
            <v>SUBESTACIONES</v>
          </cell>
        </row>
        <row r="132">
          <cell r="A132">
            <v>355862</v>
          </cell>
          <cell r="B132" t="str">
            <v>SUBESTACIONES</v>
          </cell>
        </row>
        <row r="133">
          <cell r="A133">
            <v>355862</v>
          </cell>
          <cell r="B133" t="str">
            <v>SUBESTACIONES</v>
          </cell>
        </row>
        <row r="134">
          <cell r="A134">
            <v>69310</v>
          </cell>
          <cell r="B134" t="str">
            <v>DISTRIBUCIÓN</v>
          </cell>
        </row>
        <row r="135">
          <cell r="A135">
            <v>69310</v>
          </cell>
          <cell r="B135" t="str">
            <v>DISTRIBUCIÓN</v>
          </cell>
        </row>
        <row r="136">
          <cell r="A136">
            <v>69310</v>
          </cell>
          <cell r="B136" t="str">
            <v>DISTRIBUCIÓN</v>
          </cell>
        </row>
        <row r="137">
          <cell r="A137">
            <v>69310</v>
          </cell>
          <cell r="B137" t="str">
            <v>DISTRIBUCIÓN</v>
          </cell>
        </row>
        <row r="138">
          <cell r="A138">
            <v>9292</v>
          </cell>
          <cell r="B138" t="str">
            <v>USSA - GEOVANNY PALACIOS</v>
          </cell>
        </row>
        <row r="139">
          <cell r="A139">
            <v>1551</v>
          </cell>
          <cell r="B139" t="str">
            <v>USSA - GEOVANNY PALACIOS</v>
          </cell>
        </row>
        <row r="140">
          <cell r="A140">
            <v>1551</v>
          </cell>
          <cell r="B140" t="str">
            <v>USSA - GEOVANNY PALACIOS</v>
          </cell>
        </row>
        <row r="141">
          <cell r="A141">
            <v>1275</v>
          </cell>
          <cell r="B141" t="str">
            <v>ALMACENES</v>
          </cell>
        </row>
        <row r="142">
          <cell r="A142">
            <v>1275</v>
          </cell>
          <cell r="B142" t="str">
            <v>ALMACENES</v>
          </cell>
        </row>
        <row r="143">
          <cell r="A143">
            <v>1275</v>
          </cell>
          <cell r="B143" t="str">
            <v>ALMACENES</v>
          </cell>
        </row>
        <row r="144">
          <cell r="A144">
            <v>1275</v>
          </cell>
          <cell r="B144" t="str">
            <v>ALMACENES</v>
          </cell>
        </row>
        <row r="145">
          <cell r="A145">
            <v>1275</v>
          </cell>
          <cell r="B145" t="str">
            <v>ALMACENES</v>
          </cell>
        </row>
        <row r="146">
          <cell r="A146">
            <v>1275</v>
          </cell>
          <cell r="B146" t="str">
            <v>ALMACENES</v>
          </cell>
        </row>
        <row r="147">
          <cell r="A147">
            <v>1275</v>
          </cell>
          <cell r="B147" t="str">
            <v>ALMACENES</v>
          </cell>
        </row>
        <row r="148">
          <cell r="A148">
            <v>1275</v>
          </cell>
          <cell r="B148" t="str">
            <v>ALMACENES</v>
          </cell>
        </row>
        <row r="149">
          <cell r="A149">
            <v>1276</v>
          </cell>
          <cell r="B149" t="str">
            <v>ALMACENES</v>
          </cell>
        </row>
        <row r="150">
          <cell r="A150">
            <v>1276</v>
          </cell>
          <cell r="B150" t="str">
            <v>ALMACENES</v>
          </cell>
        </row>
        <row r="151">
          <cell r="A151">
            <v>1276</v>
          </cell>
          <cell r="B151" t="str">
            <v>ALMACENES</v>
          </cell>
        </row>
        <row r="152">
          <cell r="A152">
            <v>1276</v>
          </cell>
          <cell r="B152" t="str">
            <v>ALMACENES</v>
          </cell>
        </row>
        <row r="153">
          <cell r="A153">
            <v>1277</v>
          </cell>
          <cell r="B153" t="str">
            <v>ALMACENES</v>
          </cell>
        </row>
        <row r="154">
          <cell r="A154">
            <v>1277</v>
          </cell>
          <cell r="B154" t="str">
            <v>ALMACENES</v>
          </cell>
        </row>
        <row r="155">
          <cell r="A155">
            <v>1277</v>
          </cell>
          <cell r="B155" t="str">
            <v>ALMACENES</v>
          </cell>
        </row>
        <row r="156">
          <cell r="A156">
            <v>1277</v>
          </cell>
          <cell r="B156" t="str">
            <v>ALMACENES</v>
          </cell>
        </row>
        <row r="157">
          <cell r="A157">
            <v>1280</v>
          </cell>
          <cell r="B157" t="str">
            <v>ALMACENES</v>
          </cell>
        </row>
        <row r="158">
          <cell r="A158">
            <v>1280</v>
          </cell>
          <cell r="B158" t="str">
            <v>ALMACENES</v>
          </cell>
        </row>
        <row r="159">
          <cell r="A159">
            <v>1280</v>
          </cell>
          <cell r="B159" t="str">
            <v>ALMACENES</v>
          </cell>
        </row>
        <row r="160">
          <cell r="A160">
            <v>1280</v>
          </cell>
          <cell r="B160" t="str">
            <v>ALMACENES</v>
          </cell>
        </row>
        <row r="161">
          <cell r="A161">
            <v>1280</v>
          </cell>
          <cell r="B161" t="str">
            <v>ALMACENES</v>
          </cell>
        </row>
        <row r="162">
          <cell r="A162">
            <v>1280</v>
          </cell>
          <cell r="B162" t="str">
            <v>ALMACENES</v>
          </cell>
        </row>
        <row r="163">
          <cell r="A163">
            <v>1280</v>
          </cell>
          <cell r="B163" t="str">
            <v>ALMACENES</v>
          </cell>
        </row>
        <row r="164">
          <cell r="A164">
            <v>1280</v>
          </cell>
          <cell r="B164" t="str">
            <v>ALMACENES</v>
          </cell>
        </row>
        <row r="165">
          <cell r="A165">
            <v>1280</v>
          </cell>
          <cell r="B165" t="str">
            <v>ALMACENES</v>
          </cell>
        </row>
        <row r="166">
          <cell r="A166">
            <v>1280</v>
          </cell>
          <cell r="B166" t="str">
            <v>ALMACENES</v>
          </cell>
        </row>
        <row r="167">
          <cell r="A167">
            <v>1280</v>
          </cell>
          <cell r="B167" t="str">
            <v>ALMACENES</v>
          </cell>
        </row>
        <row r="168">
          <cell r="A168">
            <v>1280</v>
          </cell>
          <cell r="B168" t="str">
            <v>ALMACENES</v>
          </cell>
        </row>
        <row r="169">
          <cell r="A169">
            <v>1280</v>
          </cell>
          <cell r="B169" t="str">
            <v>ALMACENES</v>
          </cell>
        </row>
        <row r="170">
          <cell r="A170">
            <v>1280</v>
          </cell>
          <cell r="B170" t="str">
            <v>ALMACENES</v>
          </cell>
        </row>
        <row r="171">
          <cell r="A171">
            <v>1280</v>
          </cell>
          <cell r="B171" t="str">
            <v>ALMACENES</v>
          </cell>
        </row>
        <row r="172">
          <cell r="A172">
            <v>1280</v>
          </cell>
          <cell r="B172" t="str">
            <v>ALMACENES</v>
          </cell>
        </row>
        <row r="173">
          <cell r="A173">
            <v>1280</v>
          </cell>
          <cell r="B173" t="str">
            <v>ALMACENES</v>
          </cell>
        </row>
        <row r="174">
          <cell r="A174">
            <v>1280</v>
          </cell>
          <cell r="B174" t="str">
            <v>ALMACENES</v>
          </cell>
        </row>
        <row r="175">
          <cell r="A175">
            <v>1280</v>
          </cell>
          <cell r="B175" t="str">
            <v>ALMACENES</v>
          </cell>
        </row>
        <row r="176">
          <cell r="A176">
            <v>1280</v>
          </cell>
          <cell r="B176" t="str">
            <v>ALMACENES</v>
          </cell>
        </row>
        <row r="177">
          <cell r="A177">
            <v>1280</v>
          </cell>
          <cell r="B177" t="str">
            <v>ALMACENES</v>
          </cell>
        </row>
        <row r="178">
          <cell r="A178">
            <v>1280</v>
          </cell>
          <cell r="B178" t="str">
            <v>ALMACENES</v>
          </cell>
        </row>
        <row r="179">
          <cell r="A179">
            <v>1280</v>
          </cell>
          <cell r="B179" t="str">
            <v>ALMACENES</v>
          </cell>
        </row>
        <row r="180">
          <cell r="A180">
            <v>1280</v>
          </cell>
          <cell r="B180" t="str">
            <v>ALMACENES</v>
          </cell>
        </row>
        <row r="181">
          <cell r="A181">
            <v>1283</v>
          </cell>
          <cell r="B181" t="str">
            <v>ALMACENES</v>
          </cell>
        </row>
        <row r="182">
          <cell r="A182">
            <v>1283</v>
          </cell>
          <cell r="B182" t="str">
            <v>ALMACENES</v>
          </cell>
        </row>
        <row r="183">
          <cell r="A183">
            <v>1283</v>
          </cell>
          <cell r="B183" t="str">
            <v>ALMACENES</v>
          </cell>
        </row>
        <row r="184">
          <cell r="A184">
            <v>1283</v>
          </cell>
          <cell r="B184" t="str">
            <v>ALMACENES</v>
          </cell>
        </row>
        <row r="185">
          <cell r="A185">
            <v>1283</v>
          </cell>
          <cell r="B185" t="str">
            <v>ALMACENES</v>
          </cell>
        </row>
        <row r="186">
          <cell r="A186">
            <v>1283</v>
          </cell>
          <cell r="B186" t="str">
            <v>ALMACENES</v>
          </cell>
        </row>
        <row r="187">
          <cell r="A187">
            <v>1283</v>
          </cell>
          <cell r="B187" t="str">
            <v>ALMACENES</v>
          </cell>
        </row>
        <row r="188">
          <cell r="A188">
            <v>1283</v>
          </cell>
          <cell r="B188" t="str">
            <v>ALMACENES</v>
          </cell>
        </row>
        <row r="189">
          <cell r="A189">
            <v>1283</v>
          </cell>
          <cell r="B189" t="str">
            <v>ALMACENES</v>
          </cell>
        </row>
        <row r="190">
          <cell r="A190">
            <v>1283</v>
          </cell>
          <cell r="B190" t="str">
            <v>ALMACENES</v>
          </cell>
        </row>
        <row r="191">
          <cell r="A191">
            <v>1283</v>
          </cell>
          <cell r="B191" t="str">
            <v>ALMACENES</v>
          </cell>
        </row>
        <row r="192">
          <cell r="A192">
            <v>1283</v>
          </cell>
          <cell r="B192" t="str">
            <v>ALMACENES</v>
          </cell>
        </row>
        <row r="193">
          <cell r="A193">
            <v>1284</v>
          </cell>
          <cell r="B193" t="str">
            <v>ALMACENES</v>
          </cell>
        </row>
        <row r="194">
          <cell r="A194">
            <v>1284</v>
          </cell>
          <cell r="B194" t="str">
            <v>ALMACENES</v>
          </cell>
        </row>
        <row r="195">
          <cell r="A195">
            <v>1284</v>
          </cell>
          <cell r="B195" t="str">
            <v>ALMACENES</v>
          </cell>
        </row>
        <row r="196">
          <cell r="A196">
            <v>1284</v>
          </cell>
          <cell r="B196" t="str">
            <v>ALMACENES</v>
          </cell>
        </row>
        <row r="197">
          <cell r="A197">
            <v>104227</v>
          </cell>
          <cell r="B197" t="str">
            <v>ALMACENES</v>
          </cell>
        </row>
        <row r="198">
          <cell r="A198">
            <v>104227</v>
          </cell>
          <cell r="B198" t="str">
            <v>ALMACENES</v>
          </cell>
        </row>
        <row r="199">
          <cell r="A199">
            <v>104227</v>
          </cell>
          <cell r="B199" t="str">
            <v>ALMACENES</v>
          </cell>
        </row>
        <row r="200">
          <cell r="A200">
            <v>104227</v>
          </cell>
          <cell r="B200" t="str">
            <v>ALMACENES</v>
          </cell>
        </row>
        <row r="201">
          <cell r="A201">
            <v>104229</v>
          </cell>
          <cell r="B201" t="str">
            <v>ALMACENES</v>
          </cell>
        </row>
        <row r="202">
          <cell r="A202">
            <v>104229</v>
          </cell>
          <cell r="B202" t="str">
            <v>ALMACENES</v>
          </cell>
        </row>
        <row r="203">
          <cell r="A203">
            <v>104229</v>
          </cell>
          <cell r="B203" t="str">
            <v>ALMACENES</v>
          </cell>
        </row>
        <row r="204">
          <cell r="A204">
            <v>104229</v>
          </cell>
          <cell r="B204" t="str">
            <v>ALMACENES</v>
          </cell>
        </row>
        <row r="205">
          <cell r="A205">
            <v>104231</v>
          </cell>
          <cell r="B205" t="str">
            <v>ALMACENES</v>
          </cell>
        </row>
        <row r="206">
          <cell r="A206">
            <v>104231</v>
          </cell>
          <cell r="B206" t="str">
            <v>ALMACENES</v>
          </cell>
        </row>
        <row r="207">
          <cell r="A207">
            <v>104231</v>
          </cell>
          <cell r="B207" t="str">
            <v>ALMACENES</v>
          </cell>
        </row>
        <row r="208">
          <cell r="A208">
            <v>104231</v>
          </cell>
          <cell r="B208" t="str">
            <v>ALMACENES</v>
          </cell>
        </row>
        <row r="209">
          <cell r="A209">
            <v>104231</v>
          </cell>
          <cell r="B209" t="str">
            <v>ALMACENES</v>
          </cell>
        </row>
        <row r="210">
          <cell r="A210">
            <v>104231</v>
          </cell>
          <cell r="B210" t="str">
            <v>ALMACENES</v>
          </cell>
        </row>
        <row r="211">
          <cell r="A211">
            <v>104231</v>
          </cell>
          <cell r="B211" t="str">
            <v>ALMACENES</v>
          </cell>
        </row>
        <row r="212">
          <cell r="A212">
            <v>104231</v>
          </cell>
          <cell r="B212" t="str">
            <v>ALMACENES</v>
          </cell>
        </row>
        <row r="213">
          <cell r="A213">
            <v>104231</v>
          </cell>
          <cell r="B213" t="str">
            <v>ALMACENES</v>
          </cell>
        </row>
        <row r="214">
          <cell r="A214">
            <v>104231</v>
          </cell>
          <cell r="B214" t="str">
            <v>ALMACENES</v>
          </cell>
        </row>
        <row r="215">
          <cell r="A215">
            <v>104231</v>
          </cell>
          <cell r="B215" t="str">
            <v>ALMACENES</v>
          </cell>
        </row>
        <row r="216">
          <cell r="A216">
            <v>104231</v>
          </cell>
          <cell r="B216" t="str">
            <v>ALMACENES</v>
          </cell>
        </row>
        <row r="217">
          <cell r="A217">
            <v>104231</v>
          </cell>
          <cell r="B217" t="str">
            <v>ALMACENES</v>
          </cell>
        </row>
        <row r="218">
          <cell r="A218">
            <v>104231</v>
          </cell>
          <cell r="B218" t="str">
            <v>ALMACENES</v>
          </cell>
        </row>
        <row r="219">
          <cell r="A219">
            <v>104231</v>
          </cell>
          <cell r="B219" t="str">
            <v>ALMACENES</v>
          </cell>
        </row>
        <row r="220">
          <cell r="A220">
            <v>104231</v>
          </cell>
          <cell r="B220" t="str">
            <v>ALMACENES</v>
          </cell>
        </row>
        <row r="221">
          <cell r="A221">
            <v>104231</v>
          </cell>
          <cell r="B221" t="str">
            <v>ALMACENES</v>
          </cell>
        </row>
        <row r="222">
          <cell r="A222">
            <v>104231</v>
          </cell>
          <cell r="B222" t="str">
            <v>ALMACENES</v>
          </cell>
        </row>
        <row r="223">
          <cell r="A223">
            <v>104232</v>
          </cell>
          <cell r="B223" t="str">
            <v>ALMACENES</v>
          </cell>
        </row>
        <row r="224">
          <cell r="A224">
            <v>104232</v>
          </cell>
          <cell r="B224" t="str">
            <v>ALMACENES</v>
          </cell>
        </row>
        <row r="225">
          <cell r="A225">
            <v>104232</v>
          </cell>
          <cell r="B225" t="str">
            <v>ALMACENES</v>
          </cell>
        </row>
        <row r="226">
          <cell r="A226">
            <v>104232</v>
          </cell>
          <cell r="B226" t="str">
            <v>ALMACENES</v>
          </cell>
        </row>
        <row r="227">
          <cell r="A227">
            <v>104232</v>
          </cell>
          <cell r="B227" t="str">
            <v>ALMACENES</v>
          </cell>
        </row>
        <row r="228">
          <cell r="A228">
            <v>104232</v>
          </cell>
          <cell r="B228" t="str">
            <v>ALMACENES</v>
          </cell>
        </row>
        <row r="229">
          <cell r="A229">
            <v>104232</v>
          </cell>
          <cell r="B229" t="str">
            <v>ALMACENES</v>
          </cell>
        </row>
        <row r="230">
          <cell r="A230">
            <v>104232</v>
          </cell>
          <cell r="B230" t="str">
            <v>ALMACENES</v>
          </cell>
        </row>
        <row r="231">
          <cell r="A231">
            <v>104232</v>
          </cell>
          <cell r="B231" t="str">
            <v>ALMACENES</v>
          </cell>
        </row>
        <row r="232">
          <cell r="A232">
            <v>104232</v>
          </cell>
          <cell r="B232" t="str">
            <v>ALMACENES</v>
          </cell>
        </row>
        <row r="233">
          <cell r="A233">
            <v>104232</v>
          </cell>
          <cell r="B233" t="str">
            <v>ALMACENES</v>
          </cell>
        </row>
        <row r="234">
          <cell r="A234">
            <v>104232</v>
          </cell>
          <cell r="B234" t="str">
            <v>ALMACENES</v>
          </cell>
        </row>
        <row r="235">
          <cell r="A235">
            <v>104232</v>
          </cell>
          <cell r="B235" t="str">
            <v>ALMACENES</v>
          </cell>
        </row>
        <row r="236">
          <cell r="A236">
            <v>104232</v>
          </cell>
          <cell r="B236" t="str">
            <v>ALMACENES</v>
          </cell>
        </row>
        <row r="237">
          <cell r="A237">
            <v>104232</v>
          </cell>
          <cell r="B237" t="str">
            <v>ALMACENES</v>
          </cell>
        </row>
        <row r="238">
          <cell r="A238">
            <v>104232</v>
          </cell>
          <cell r="B238" t="str">
            <v>ALMACENES</v>
          </cell>
        </row>
        <row r="239">
          <cell r="A239">
            <v>104232</v>
          </cell>
          <cell r="B239" t="str">
            <v>ALMACENES</v>
          </cell>
        </row>
        <row r="240">
          <cell r="A240">
            <v>104232</v>
          </cell>
          <cell r="B240" t="str">
            <v>ALMACENES</v>
          </cell>
        </row>
        <row r="241">
          <cell r="A241">
            <v>104232</v>
          </cell>
          <cell r="B241" t="str">
            <v>ALMACENES</v>
          </cell>
        </row>
        <row r="242">
          <cell r="A242">
            <v>104232</v>
          </cell>
          <cell r="B242" t="str">
            <v>ALMACENES</v>
          </cell>
        </row>
        <row r="243">
          <cell r="A243">
            <v>104232</v>
          </cell>
          <cell r="B243" t="str">
            <v>ALMACENES</v>
          </cell>
        </row>
        <row r="244">
          <cell r="A244">
            <v>104232</v>
          </cell>
          <cell r="B244" t="str">
            <v>ALMACENES</v>
          </cell>
        </row>
        <row r="245">
          <cell r="A245">
            <v>104232</v>
          </cell>
          <cell r="B245" t="str">
            <v>ALMACENES</v>
          </cell>
        </row>
        <row r="246">
          <cell r="A246">
            <v>104232</v>
          </cell>
          <cell r="B246" t="str">
            <v>ALMACENES</v>
          </cell>
        </row>
        <row r="247">
          <cell r="A247">
            <v>104234</v>
          </cell>
          <cell r="B247" t="str">
            <v>ALMACENES</v>
          </cell>
        </row>
        <row r="248">
          <cell r="A248">
            <v>104234</v>
          </cell>
          <cell r="B248" t="str">
            <v>ALMACENES</v>
          </cell>
        </row>
        <row r="249">
          <cell r="A249">
            <v>104234</v>
          </cell>
          <cell r="B249" t="str">
            <v>ALMACENES</v>
          </cell>
        </row>
        <row r="250">
          <cell r="A250">
            <v>104234</v>
          </cell>
          <cell r="B250" t="str">
            <v>ALMACENES</v>
          </cell>
        </row>
        <row r="251">
          <cell r="A251">
            <v>104234</v>
          </cell>
          <cell r="B251" t="str">
            <v>ALMACENES</v>
          </cell>
        </row>
        <row r="252">
          <cell r="A252">
            <v>104234</v>
          </cell>
          <cell r="B252" t="str">
            <v>ALMACENES</v>
          </cell>
        </row>
        <row r="253">
          <cell r="A253">
            <v>104234</v>
          </cell>
          <cell r="B253" t="str">
            <v>ALMACENES</v>
          </cell>
        </row>
        <row r="254">
          <cell r="A254">
            <v>104234</v>
          </cell>
          <cell r="B254" t="str">
            <v>ALMACENES</v>
          </cell>
        </row>
        <row r="255">
          <cell r="A255">
            <v>104234</v>
          </cell>
          <cell r="B255" t="str">
            <v>ALMACENES</v>
          </cell>
        </row>
        <row r="256">
          <cell r="A256">
            <v>104234</v>
          </cell>
          <cell r="B256" t="str">
            <v>ALMACENES</v>
          </cell>
        </row>
        <row r="257">
          <cell r="A257">
            <v>104234</v>
          </cell>
          <cell r="B257" t="str">
            <v>ALMACENES</v>
          </cell>
        </row>
        <row r="258">
          <cell r="A258">
            <v>104234</v>
          </cell>
          <cell r="B258" t="str">
            <v>ALMACENES</v>
          </cell>
        </row>
        <row r="259">
          <cell r="A259">
            <v>104234</v>
          </cell>
          <cell r="B259" t="str">
            <v>ALMACENES</v>
          </cell>
        </row>
        <row r="260">
          <cell r="A260">
            <v>104234</v>
          </cell>
          <cell r="B260" t="str">
            <v>ALMACENES</v>
          </cell>
        </row>
        <row r="261">
          <cell r="A261">
            <v>104234</v>
          </cell>
          <cell r="B261" t="str">
            <v>ALMACENES</v>
          </cell>
        </row>
        <row r="262">
          <cell r="A262">
            <v>104234</v>
          </cell>
          <cell r="B262" t="str">
            <v>ALMACENES</v>
          </cell>
        </row>
        <row r="263">
          <cell r="A263">
            <v>104234</v>
          </cell>
          <cell r="B263" t="str">
            <v>ALMACENES</v>
          </cell>
        </row>
        <row r="264">
          <cell r="A264">
            <v>104234</v>
          </cell>
          <cell r="B264" t="str">
            <v>ALMACENES</v>
          </cell>
        </row>
        <row r="265">
          <cell r="A265">
            <v>104235</v>
          </cell>
          <cell r="B265" t="str">
            <v>ALMACENES</v>
          </cell>
        </row>
        <row r="266">
          <cell r="A266">
            <v>104235</v>
          </cell>
          <cell r="B266" t="str">
            <v>ALMACENES</v>
          </cell>
        </row>
        <row r="267">
          <cell r="A267">
            <v>104235</v>
          </cell>
          <cell r="B267" t="str">
            <v>ALMACENES</v>
          </cell>
        </row>
        <row r="268">
          <cell r="A268">
            <v>104235</v>
          </cell>
          <cell r="B268" t="str">
            <v>ALMACENES</v>
          </cell>
        </row>
        <row r="269">
          <cell r="A269">
            <v>104235</v>
          </cell>
          <cell r="B269" t="str">
            <v>ALMACENES</v>
          </cell>
        </row>
        <row r="270">
          <cell r="A270">
            <v>104235</v>
          </cell>
          <cell r="B270" t="str">
            <v>ALMACENES</v>
          </cell>
        </row>
        <row r="271">
          <cell r="A271">
            <v>104235</v>
          </cell>
          <cell r="B271" t="str">
            <v>ALMACENES</v>
          </cell>
        </row>
        <row r="272">
          <cell r="A272">
            <v>104235</v>
          </cell>
          <cell r="B272" t="str">
            <v>ALMACENES</v>
          </cell>
        </row>
        <row r="273">
          <cell r="A273">
            <v>104235</v>
          </cell>
          <cell r="B273" t="str">
            <v>ALMACENES</v>
          </cell>
        </row>
        <row r="274">
          <cell r="A274">
            <v>104235</v>
          </cell>
          <cell r="B274" t="str">
            <v>ALMACENES</v>
          </cell>
        </row>
        <row r="275">
          <cell r="A275">
            <v>104235</v>
          </cell>
          <cell r="B275" t="str">
            <v>ALMACENES</v>
          </cell>
        </row>
        <row r="276">
          <cell r="A276">
            <v>104235</v>
          </cell>
          <cell r="B276" t="str">
            <v>ALMACENES</v>
          </cell>
        </row>
        <row r="277">
          <cell r="A277">
            <v>104235</v>
          </cell>
          <cell r="B277" t="str">
            <v>ALMACENES</v>
          </cell>
        </row>
        <row r="278">
          <cell r="A278">
            <v>104235</v>
          </cell>
          <cell r="B278" t="str">
            <v>ALMACENES</v>
          </cell>
        </row>
        <row r="279">
          <cell r="A279">
            <v>203175</v>
          </cell>
          <cell r="B279" t="str">
            <v>COMERCIAL</v>
          </cell>
        </row>
        <row r="280">
          <cell r="A280">
            <v>203178</v>
          </cell>
          <cell r="B280" t="str">
            <v>COMERCIAL</v>
          </cell>
        </row>
        <row r="281">
          <cell r="A281">
            <v>203257</v>
          </cell>
          <cell r="B281" t="str">
            <v>USSA - GEOVANNY PALACIOS</v>
          </cell>
        </row>
        <row r="282">
          <cell r="A282">
            <v>203257</v>
          </cell>
          <cell r="B282" t="str">
            <v>USSA - GEOVANNY PALACIOS</v>
          </cell>
        </row>
        <row r="283">
          <cell r="A283">
            <v>203257</v>
          </cell>
          <cell r="B283" t="str">
            <v>USSA - GEOVANNY PALACIOS</v>
          </cell>
        </row>
        <row r="284">
          <cell r="A284">
            <v>203985</v>
          </cell>
          <cell r="B284" t="str">
            <v>USSA - FRANCISCO CONTRERAS</v>
          </cell>
        </row>
        <row r="285">
          <cell r="A285">
            <v>203985</v>
          </cell>
          <cell r="B285" t="str">
            <v>USSA - FRANCISCO CONTRERAS</v>
          </cell>
        </row>
        <row r="286">
          <cell r="A286">
            <v>204011</v>
          </cell>
          <cell r="B286" t="str">
            <v>USSA - GEOVANNY PALACIOS</v>
          </cell>
        </row>
        <row r="287">
          <cell r="A287">
            <v>204011</v>
          </cell>
          <cell r="B287" t="str">
            <v>USSA - GEOVANNY PALACIOS</v>
          </cell>
        </row>
        <row r="288">
          <cell r="A288">
            <v>204011</v>
          </cell>
          <cell r="B288" t="str">
            <v>USSA - GEOVANNY PALACIOS</v>
          </cell>
        </row>
        <row r="289">
          <cell r="A289">
            <v>204011</v>
          </cell>
          <cell r="B289" t="str">
            <v>USSA - GEOVANNY PALACIOS</v>
          </cell>
        </row>
        <row r="290">
          <cell r="A290">
            <v>204011</v>
          </cell>
          <cell r="B290" t="str">
            <v>USSA - GEOVANNY PALACIOS</v>
          </cell>
        </row>
        <row r="291">
          <cell r="A291">
            <v>204011</v>
          </cell>
          <cell r="B291" t="str">
            <v>USSA - GEOVANNY PALACIOS</v>
          </cell>
        </row>
        <row r="292">
          <cell r="A292">
            <v>204011</v>
          </cell>
          <cell r="B292" t="str">
            <v>USSA - GEOVANNY PALACIOS</v>
          </cell>
        </row>
        <row r="293">
          <cell r="A293">
            <v>204011</v>
          </cell>
          <cell r="B293" t="str">
            <v>USSA - GEOVANNY PALACIOS</v>
          </cell>
        </row>
        <row r="294">
          <cell r="A294">
            <v>204011</v>
          </cell>
          <cell r="B294" t="str">
            <v>USSA - GEOVANNY PALACIOS</v>
          </cell>
        </row>
        <row r="295">
          <cell r="A295">
            <v>204011</v>
          </cell>
          <cell r="B295" t="str">
            <v>USSA - GEOVANNY PALACIOS</v>
          </cell>
        </row>
        <row r="296">
          <cell r="A296">
            <v>204011</v>
          </cell>
          <cell r="B296" t="str">
            <v>USSA - GEOVANNY PALACIOS</v>
          </cell>
        </row>
        <row r="297">
          <cell r="A297">
            <v>204011</v>
          </cell>
          <cell r="B297" t="str">
            <v>USSA - GEOVANNY PALACIOS</v>
          </cell>
        </row>
        <row r="298">
          <cell r="A298">
            <v>204011</v>
          </cell>
          <cell r="B298" t="str">
            <v>USSA - GEOVANNY PALACIOS</v>
          </cell>
        </row>
        <row r="299">
          <cell r="A299">
            <v>204011</v>
          </cell>
          <cell r="B299" t="str">
            <v>USSA - GEOVANNY PALACIOS</v>
          </cell>
        </row>
        <row r="300">
          <cell r="A300">
            <v>204011</v>
          </cell>
          <cell r="B300" t="str">
            <v>USSA - GEOVANNY PALACIOS</v>
          </cell>
        </row>
        <row r="301">
          <cell r="A301">
            <v>204011</v>
          </cell>
          <cell r="B301" t="str">
            <v>USSA - GEOVANNY PALACIOS</v>
          </cell>
        </row>
        <row r="302">
          <cell r="A302">
            <v>204011</v>
          </cell>
          <cell r="B302" t="str">
            <v>USSA - GEOVANNY PALACIOS</v>
          </cell>
        </row>
        <row r="303">
          <cell r="A303">
            <v>204011</v>
          </cell>
          <cell r="B303" t="str">
            <v>USSA - GEOVANNY PALACIOS</v>
          </cell>
        </row>
        <row r="304">
          <cell r="A304">
            <v>204011</v>
          </cell>
          <cell r="B304" t="str">
            <v>USSA - GEOVANNY PALACIOS</v>
          </cell>
        </row>
        <row r="305">
          <cell r="A305">
            <v>204011</v>
          </cell>
          <cell r="B305" t="str">
            <v>USSA - GEOVANNY PALACIOS</v>
          </cell>
        </row>
        <row r="306">
          <cell r="A306">
            <v>204011</v>
          </cell>
          <cell r="B306" t="str">
            <v>USSA - GEOVANNY PALACIOS</v>
          </cell>
        </row>
        <row r="307">
          <cell r="A307">
            <v>204012</v>
          </cell>
          <cell r="B307" t="str">
            <v>USSA - GEOVANNY PALACIOS</v>
          </cell>
        </row>
        <row r="308">
          <cell r="A308">
            <v>204012</v>
          </cell>
          <cell r="B308" t="str">
            <v>USSA - GEOVANNY PALACIOS</v>
          </cell>
        </row>
        <row r="309">
          <cell r="A309">
            <v>204012</v>
          </cell>
          <cell r="B309" t="str">
            <v>USSA - GEOVANNY PALACIOS</v>
          </cell>
        </row>
        <row r="310">
          <cell r="A310">
            <v>204012</v>
          </cell>
          <cell r="B310" t="str">
            <v>USSA - GEOVANNY PALACIOS</v>
          </cell>
        </row>
        <row r="311">
          <cell r="A311">
            <v>204012</v>
          </cell>
          <cell r="B311" t="str">
            <v>USSA - GEOVANNY PALACIOS</v>
          </cell>
        </row>
        <row r="312">
          <cell r="A312">
            <v>204012</v>
          </cell>
          <cell r="B312" t="str">
            <v>USSA - GEOVANNY PALACIOS</v>
          </cell>
        </row>
        <row r="313">
          <cell r="A313">
            <v>204012</v>
          </cell>
          <cell r="B313" t="str">
            <v>USSA - GEOVANNY PALACIOS</v>
          </cell>
        </row>
        <row r="314">
          <cell r="A314">
            <v>204012</v>
          </cell>
          <cell r="B314" t="str">
            <v>USSA - GEOVANNY PALACIOS</v>
          </cell>
        </row>
        <row r="315">
          <cell r="A315">
            <v>204012</v>
          </cell>
          <cell r="B315" t="str">
            <v>USSA - GEOVANNY PALACIOS</v>
          </cell>
        </row>
        <row r="316">
          <cell r="A316">
            <v>204087</v>
          </cell>
          <cell r="B316" t="str">
            <v>USSA - FRANCISCO CONTRERAS</v>
          </cell>
        </row>
        <row r="317">
          <cell r="A317">
            <v>204087</v>
          </cell>
          <cell r="B317" t="str">
            <v>USSA - FRANCISCO CONTRERAS</v>
          </cell>
        </row>
        <row r="318">
          <cell r="A318">
            <v>204087</v>
          </cell>
          <cell r="B318" t="str">
            <v>USSA - FRANCISCO CONTRERAS</v>
          </cell>
        </row>
        <row r="319">
          <cell r="A319">
            <v>204092</v>
          </cell>
          <cell r="B319" t="str">
            <v>USSA - FRANCISCO CONTRERAS</v>
          </cell>
        </row>
        <row r="320">
          <cell r="A320">
            <v>204092</v>
          </cell>
          <cell r="B320" t="str">
            <v>USSA - FRANCISCO CONTRERAS</v>
          </cell>
        </row>
        <row r="321">
          <cell r="A321">
            <v>204186</v>
          </cell>
          <cell r="B321" t="str">
            <v xml:space="preserve">USSA - YAMID GALVIS </v>
          </cell>
        </row>
        <row r="322">
          <cell r="A322">
            <v>204186</v>
          </cell>
          <cell r="B322" t="str">
            <v xml:space="preserve">USSA - YAMID GALVIS </v>
          </cell>
        </row>
        <row r="323">
          <cell r="A323">
            <v>204186</v>
          </cell>
          <cell r="B323" t="str">
            <v xml:space="preserve">USSA - YAMID GALVIS </v>
          </cell>
        </row>
        <row r="324">
          <cell r="A324">
            <v>204186</v>
          </cell>
          <cell r="B324" t="str">
            <v xml:space="preserve">USSA - YAMID GALVIS </v>
          </cell>
        </row>
        <row r="325">
          <cell r="A325">
            <v>204187</v>
          </cell>
          <cell r="B325" t="str">
            <v xml:space="preserve">USSA - YAMID GALVIS </v>
          </cell>
        </row>
        <row r="326">
          <cell r="A326">
            <v>204349</v>
          </cell>
          <cell r="B326" t="str">
            <v>T.I</v>
          </cell>
        </row>
        <row r="327">
          <cell r="A327">
            <v>204349</v>
          </cell>
          <cell r="B327" t="str">
            <v>T.I</v>
          </cell>
        </row>
        <row r="328">
          <cell r="A328">
            <v>204421</v>
          </cell>
          <cell r="B328" t="str">
            <v>USSA - GEOVANNY PALACIOS</v>
          </cell>
        </row>
        <row r="329">
          <cell r="A329">
            <v>204421</v>
          </cell>
          <cell r="B329" t="str">
            <v>USSA - GEOVANNY PALACIOS</v>
          </cell>
        </row>
        <row r="330">
          <cell r="A330">
            <v>204510</v>
          </cell>
          <cell r="B330" t="str">
            <v xml:space="preserve">USSA - YAMID GALVIS </v>
          </cell>
        </row>
        <row r="331">
          <cell r="A331">
            <v>204510</v>
          </cell>
          <cell r="B331" t="str">
            <v xml:space="preserve">USSA - YAMID GALVIS </v>
          </cell>
        </row>
        <row r="332">
          <cell r="A332">
            <v>204510</v>
          </cell>
          <cell r="B332" t="str">
            <v xml:space="preserve">USSA - YAMID GALVIS </v>
          </cell>
        </row>
        <row r="333">
          <cell r="A333">
            <v>204516</v>
          </cell>
          <cell r="B333" t="str">
            <v>USSA - GEOVANNY PALACIOS</v>
          </cell>
        </row>
        <row r="334">
          <cell r="A334">
            <v>204642</v>
          </cell>
          <cell r="B334" t="str">
            <v>USSA - GEOVANNY PALACIOS</v>
          </cell>
        </row>
        <row r="335">
          <cell r="A335">
            <v>204674</v>
          </cell>
          <cell r="B335" t="str">
            <v>USSA - GEOVANNY PALACIOS</v>
          </cell>
        </row>
        <row r="336">
          <cell r="A336">
            <v>204732</v>
          </cell>
          <cell r="B336" t="str">
            <v>SUBESTACIONES</v>
          </cell>
        </row>
        <row r="337">
          <cell r="A337">
            <v>204732</v>
          </cell>
          <cell r="B337" t="str">
            <v>SUBESTACIONES</v>
          </cell>
        </row>
        <row r="338">
          <cell r="A338">
            <v>204732</v>
          </cell>
          <cell r="B338" t="str">
            <v>SUBESTACIONES</v>
          </cell>
        </row>
        <row r="339">
          <cell r="A339">
            <v>204732</v>
          </cell>
          <cell r="B339" t="str">
            <v>SUBESTACIONES</v>
          </cell>
        </row>
        <row r="340">
          <cell r="A340">
            <v>204732</v>
          </cell>
          <cell r="B340" t="str">
            <v>SUBESTACIONES</v>
          </cell>
        </row>
        <row r="341">
          <cell r="A341">
            <v>204732</v>
          </cell>
          <cell r="B341" t="str">
            <v>SUBESTACIONES</v>
          </cell>
        </row>
        <row r="342">
          <cell r="A342">
            <v>204732</v>
          </cell>
          <cell r="B342" t="str">
            <v>SUBESTACIONES</v>
          </cell>
        </row>
        <row r="343">
          <cell r="A343">
            <v>204732</v>
          </cell>
          <cell r="B343" t="str">
            <v>SUBESTACIONES</v>
          </cell>
        </row>
        <row r="344">
          <cell r="A344">
            <v>204732</v>
          </cell>
          <cell r="B344" t="str">
            <v>SUBESTACIONES</v>
          </cell>
        </row>
        <row r="345">
          <cell r="A345">
            <v>204744</v>
          </cell>
          <cell r="B345" t="str">
            <v>USSA - GEOVANNY PALACIOS</v>
          </cell>
        </row>
        <row r="346">
          <cell r="A346">
            <v>204744</v>
          </cell>
          <cell r="B346" t="str">
            <v>USSA - GEOVANNY PALACIOS</v>
          </cell>
        </row>
        <row r="347">
          <cell r="A347">
            <v>204745</v>
          </cell>
          <cell r="B347" t="str">
            <v>USSA - GEOVANNY PALACIOS</v>
          </cell>
        </row>
        <row r="348">
          <cell r="A348">
            <v>204839</v>
          </cell>
          <cell r="B348" t="str">
            <v>SUBESTACIONES</v>
          </cell>
        </row>
        <row r="349">
          <cell r="A349">
            <v>204918</v>
          </cell>
          <cell r="B349" t="str">
            <v>USSA - FRANCISCO CONTRERAS</v>
          </cell>
        </row>
        <row r="350">
          <cell r="A350">
            <v>204918</v>
          </cell>
          <cell r="B350" t="str">
            <v>USSA - FRANCISCO CONTRERAS</v>
          </cell>
        </row>
        <row r="351">
          <cell r="A351">
            <v>204918</v>
          </cell>
          <cell r="B351" t="str">
            <v>USSA - FRANCISCO CONTRERAS</v>
          </cell>
        </row>
        <row r="352">
          <cell r="A352">
            <v>204918</v>
          </cell>
          <cell r="B352" t="str">
            <v>USSA - FRANCISCO CONTRERAS</v>
          </cell>
        </row>
        <row r="353">
          <cell r="A353">
            <v>204918</v>
          </cell>
          <cell r="B353" t="str">
            <v>USSA - FRANCISCO CONTRERAS</v>
          </cell>
        </row>
        <row r="354">
          <cell r="A354">
            <v>204918</v>
          </cell>
          <cell r="B354" t="str">
            <v>USSA - FRANCISCO CONTRERAS</v>
          </cell>
        </row>
        <row r="355">
          <cell r="A355">
            <v>14699</v>
          </cell>
          <cell r="B355" t="str">
            <v xml:space="preserve">USSA - YAMID GALVIS </v>
          </cell>
        </row>
        <row r="356">
          <cell r="A356">
            <v>14699</v>
          </cell>
          <cell r="B356" t="str">
            <v xml:space="preserve">USSA - YAMID GALVIS </v>
          </cell>
        </row>
        <row r="357">
          <cell r="A357">
            <v>14699</v>
          </cell>
          <cell r="B357" t="str">
            <v xml:space="preserve">USSA - YAMID GALVIS </v>
          </cell>
        </row>
        <row r="358">
          <cell r="A358">
            <v>14699</v>
          </cell>
          <cell r="B358" t="str">
            <v xml:space="preserve">USSA - YAMID GALVIS </v>
          </cell>
        </row>
        <row r="359">
          <cell r="A359">
            <v>14699</v>
          </cell>
          <cell r="B359" t="str">
            <v xml:space="preserve">USSA - YAMID GALVIS </v>
          </cell>
        </row>
        <row r="360">
          <cell r="A360">
            <v>14699</v>
          </cell>
          <cell r="B360" t="str">
            <v xml:space="preserve">USSA - YAMID GALVIS </v>
          </cell>
        </row>
        <row r="361">
          <cell r="A361">
            <v>14699</v>
          </cell>
          <cell r="B361" t="str">
            <v xml:space="preserve">USSA - YAMID GALVIS </v>
          </cell>
        </row>
        <row r="362">
          <cell r="A362">
            <v>14699</v>
          </cell>
          <cell r="B362" t="str">
            <v xml:space="preserve">USSA - YAMID GALVIS </v>
          </cell>
        </row>
        <row r="363">
          <cell r="A363">
            <v>14699</v>
          </cell>
          <cell r="B363" t="str">
            <v xml:space="preserve">USSA - YAMID GALVIS </v>
          </cell>
        </row>
        <row r="364">
          <cell r="A364">
            <v>14699</v>
          </cell>
          <cell r="B364" t="str">
            <v xml:space="preserve">USSA - YAMID GALVIS </v>
          </cell>
        </row>
        <row r="365">
          <cell r="A365">
            <v>14699</v>
          </cell>
          <cell r="B365" t="str">
            <v xml:space="preserve">USSA - YAMID GALVIS </v>
          </cell>
        </row>
        <row r="366">
          <cell r="A366">
            <v>14699</v>
          </cell>
          <cell r="B366" t="str">
            <v xml:space="preserve">USSA - YAMID GALVIS </v>
          </cell>
        </row>
        <row r="367">
          <cell r="A367">
            <v>14699</v>
          </cell>
          <cell r="B367" t="str">
            <v xml:space="preserve">USSA - YAMID GALVIS </v>
          </cell>
        </row>
        <row r="368">
          <cell r="A368">
            <v>14699</v>
          </cell>
          <cell r="B368" t="str">
            <v xml:space="preserve">USSA - YAMID GALVIS </v>
          </cell>
        </row>
        <row r="369">
          <cell r="A369">
            <v>14699</v>
          </cell>
          <cell r="B369" t="str">
            <v xml:space="preserve">USSA - YAMID GALVIS </v>
          </cell>
        </row>
        <row r="370">
          <cell r="A370">
            <v>14699</v>
          </cell>
          <cell r="B370" t="str">
            <v xml:space="preserve">USSA - YAMID GALVIS </v>
          </cell>
        </row>
        <row r="371">
          <cell r="A371">
            <v>14699</v>
          </cell>
          <cell r="B371" t="str">
            <v xml:space="preserve">USSA - YAMID GALVIS </v>
          </cell>
        </row>
        <row r="372">
          <cell r="A372">
            <v>14699</v>
          </cell>
          <cell r="B372" t="str">
            <v xml:space="preserve">USSA - YAMID GALVIS </v>
          </cell>
        </row>
        <row r="373">
          <cell r="A373">
            <v>14699</v>
          </cell>
          <cell r="B373" t="str">
            <v xml:space="preserve">USSA - YAMID GALVIS </v>
          </cell>
        </row>
        <row r="374">
          <cell r="A374">
            <v>14699</v>
          </cell>
          <cell r="B374" t="str">
            <v xml:space="preserve">USSA - YAMID GALVIS </v>
          </cell>
        </row>
        <row r="375">
          <cell r="A375">
            <v>14699</v>
          </cell>
          <cell r="B375" t="str">
            <v xml:space="preserve">USSA - YAMID GALVIS </v>
          </cell>
        </row>
        <row r="376">
          <cell r="A376">
            <v>14699</v>
          </cell>
          <cell r="B376" t="str">
            <v xml:space="preserve">USSA - YAMID GALVIS </v>
          </cell>
        </row>
        <row r="377">
          <cell r="A377">
            <v>14699</v>
          </cell>
          <cell r="B377" t="str">
            <v xml:space="preserve">USSA - YAMID GALVIS </v>
          </cell>
        </row>
        <row r="378">
          <cell r="A378">
            <v>14699</v>
          </cell>
          <cell r="B378" t="str">
            <v xml:space="preserve">USSA - YAMID GALVIS </v>
          </cell>
        </row>
        <row r="379">
          <cell r="A379">
            <v>14699</v>
          </cell>
          <cell r="B379" t="str">
            <v xml:space="preserve">USSA - YAMID GALVIS </v>
          </cell>
        </row>
        <row r="380">
          <cell r="A380">
            <v>14699</v>
          </cell>
          <cell r="B380" t="str">
            <v xml:space="preserve">USSA - YAMID GALVIS </v>
          </cell>
        </row>
        <row r="381">
          <cell r="A381">
            <v>14699</v>
          </cell>
          <cell r="B381" t="str">
            <v xml:space="preserve">USSA - YAMID GALVIS </v>
          </cell>
        </row>
        <row r="382">
          <cell r="A382">
            <v>14699</v>
          </cell>
          <cell r="B382" t="str">
            <v xml:space="preserve">USSA - YAMID GALVIS </v>
          </cell>
        </row>
        <row r="383">
          <cell r="A383">
            <v>14699</v>
          </cell>
          <cell r="B383" t="str">
            <v xml:space="preserve">USSA - YAMID GALVIS </v>
          </cell>
        </row>
        <row r="384">
          <cell r="A384">
            <v>14699</v>
          </cell>
          <cell r="B384" t="str">
            <v xml:space="preserve">USSA - YAMID GALVIS </v>
          </cell>
        </row>
        <row r="385">
          <cell r="A385">
            <v>14699</v>
          </cell>
          <cell r="B385" t="str">
            <v xml:space="preserve">USSA - YAMID GALVIS </v>
          </cell>
        </row>
        <row r="386">
          <cell r="A386">
            <v>14699</v>
          </cell>
          <cell r="B386" t="str">
            <v xml:space="preserve">USSA - YAMID GALVIS </v>
          </cell>
        </row>
        <row r="387">
          <cell r="A387">
            <v>14699</v>
          </cell>
          <cell r="B387" t="str">
            <v xml:space="preserve">USSA - YAMID GALVIS </v>
          </cell>
        </row>
        <row r="388">
          <cell r="A388">
            <v>14699</v>
          </cell>
          <cell r="B388" t="str">
            <v xml:space="preserve">USSA - YAMID GALVIS </v>
          </cell>
        </row>
        <row r="389">
          <cell r="A389">
            <v>14699</v>
          </cell>
          <cell r="B389" t="str">
            <v xml:space="preserve">USSA - YAMID GALVIS </v>
          </cell>
        </row>
        <row r="390">
          <cell r="A390">
            <v>14699</v>
          </cell>
          <cell r="B390" t="str">
            <v xml:space="preserve">USSA - YAMID GALVIS </v>
          </cell>
        </row>
        <row r="391">
          <cell r="A391">
            <v>14699</v>
          </cell>
          <cell r="B391" t="str">
            <v xml:space="preserve">USSA - YAMID GALVIS </v>
          </cell>
        </row>
        <row r="392">
          <cell r="A392">
            <v>14699</v>
          </cell>
          <cell r="B392" t="str">
            <v xml:space="preserve">USSA - YAMID GALVIS </v>
          </cell>
        </row>
        <row r="393">
          <cell r="A393">
            <v>14699</v>
          </cell>
          <cell r="B393" t="str">
            <v xml:space="preserve">USSA - YAMID GALVIS </v>
          </cell>
        </row>
        <row r="394">
          <cell r="A394">
            <v>14699</v>
          </cell>
          <cell r="B394" t="str">
            <v xml:space="preserve">USSA - YAMID GALVIS </v>
          </cell>
        </row>
        <row r="395">
          <cell r="A395">
            <v>14699</v>
          </cell>
          <cell r="B395" t="str">
            <v xml:space="preserve">USSA - YAMID GALVIS </v>
          </cell>
        </row>
        <row r="396">
          <cell r="A396">
            <v>14699</v>
          </cell>
          <cell r="B396" t="str">
            <v xml:space="preserve">USSA - YAMID GALVIS </v>
          </cell>
        </row>
        <row r="397">
          <cell r="A397">
            <v>14699</v>
          </cell>
          <cell r="B397" t="str">
            <v xml:space="preserve">USSA - YAMID GALVIS </v>
          </cell>
        </row>
        <row r="398">
          <cell r="A398">
            <v>14699</v>
          </cell>
          <cell r="B398" t="str">
            <v xml:space="preserve">USSA - YAMID GALVIS </v>
          </cell>
        </row>
        <row r="399">
          <cell r="A399">
            <v>14699</v>
          </cell>
          <cell r="B399" t="str">
            <v xml:space="preserve">USSA - YAMID GALVIS </v>
          </cell>
        </row>
        <row r="400">
          <cell r="A400">
            <v>14699</v>
          </cell>
          <cell r="B400" t="str">
            <v xml:space="preserve">USSA - YAMID GALVIS </v>
          </cell>
        </row>
        <row r="401">
          <cell r="A401">
            <v>14699</v>
          </cell>
          <cell r="B401" t="str">
            <v xml:space="preserve">USSA - YAMID GALVIS </v>
          </cell>
        </row>
        <row r="402">
          <cell r="A402">
            <v>14699</v>
          </cell>
          <cell r="B402" t="str">
            <v xml:space="preserve">USSA - YAMID GALVIS </v>
          </cell>
        </row>
        <row r="403">
          <cell r="A403">
            <v>14699</v>
          </cell>
          <cell r="B403" t="str">
            <v xml:space="preserve">USSA - YAMID GALVIS </v>
          </cell>
        </row>
        <row r="404">
          <cell r="A404">
            <v>14699</v>
          </cell>
          <cell r="B404" t="str">
            <v xml:space="preserve">USSA - YAMID GALVIS </v>
          </cell>
        </row>
        <row r="405">
          <cell r="A405">
            <v>14699</v>
          </cell>
          <cell r="B405" t="str">
            <v xml:space="preserve">USSA - YAMID GALVIS </v>
          </cell>
        </row>
        <row r="406">
          <cell r="A406">
            <v>14699</v>
          </cell>
          <cell r="B406" t="str">
            <v xml:space="preserve">USSA - YAMID GALVIS </v>
          </cell>
        </row>
        <row r="407">
          <cell r="A407">
            <v>14699</v>
          </cell>
          <cell r="B407" t="str">
            <v xml:space="preserve">USSA - YAMID GALVIS </v>
          </cell>
        </row>
        <row r="408">
          <cell r="A408">
            <v>14699</v>
          </cell>
          <cell r="B408" t="str">
            <v xml:space="preserve">USSA - YAMID GALVIS </v>
          </cell>
        </row>
        <row r="409">
          <cell r="A409">
            <v>14699</v>
          </cell>
          <cell r="B409" t="str">
            <v xml:space="preserve">USSA - YAMID GALVIS </v>
          </cell>
        </row>
        <row r="410">
          <cell r="A410">
            <v>14699</v>
          </cell>
          <cell r="B410" t="str">
            <v xml:space="preserve">USSA - YAMID GALVIS </v>
          </cell>
        </row>
        <row r="411">
          <cell r="A411">
            <v>14699</v>
          </cell>
          <cell r="B411" t="str">
            <v xml:space="preserve">USSA - YAMID GALVIS </v>
          </cell>
        </row>
        <row r="412">
          <cell r="A412">
            <v>14699</v>
          </cell>
          <cell r="B412" t="str">
            <v xml:space="preserve">USSA - YAMID GALVIS </v>
          </cell>
        </row>
        <row r="413">
          <cell r="A413">
            <v>14699</v>
          </cell>
          <cell r="B413" t="str">
            <v xml:space="preserve">USSA - YAMID GALVIS </v>
          </cell>
        </row>
        <row r="414">
          <cell r="A414">
            <v>14699</v>
          </cell>
          <cell r="B414" t="str">
            <v xml:space="preserve">USSA - YAMID GALVIS </v>
          </cell>
        </row>
        <row r="415">
          <cell r="A415">
            <v>14699</v>
          </cell>
          <cell r="B415" t="str">
            <v xml:space="preserve">USSA - YAMID GALVIS </v>
          </cell>
        </row>
        <row r="416">
          <cell r="A416">
            <v>14699</v>
          </cell>
          <cell r="B416" t="str">
            <v xml:space="preserve">USSA - YAMID GALVIS </v>
          </cell>
        </row>
        <row r="417">
          <cell r="A417">
            <v>14699</v>
          </cell>
          <cell r="B417" t="str">
            <v xml:space="preserve">USSA - YAMID GALVIS </v>
          </cell>
        </row>
        <row r="418">
          <cell r="A418">
            <v>14699</v>
          </cell>
          <cell r="B418" t="str">
            <v xml:space="preserve">USSA - YAMID GALVIS </v>
          </cell>
        </row>
        <row r="419">
          <cell r="A419">
            <v>14699</v>
          </cell>
          <cell r="B419" t="str">
            <v xml:space="preserve">USSA - YAMID GALVIS </v>
          </cell>
        </row>
        <row r="420">
          <cell r="A420">
            <v>14699</v>
          </cell>
          <cell r="B420" t="str">
            <v xml:space="preserve">USSA - YAMID GALVIS </v>
          </cell>
        </row>
        <row r="421">
          <cell r="A421">
            <v>14699</v>
          </cell>
          <cell r="B421" t="str">
            <v xml:space="preserve">USSA - YAMID GALVIS </v>
          </cell>
        </row>
        <row r="422">
          <cell r="A422">
            <v>14699</v>
          </cell>
          <cell r="B422" t="str">
            <v xml:space="preserve">USSA - YAMID GALVIS </v>
          </cell>
        </row>
        <row r="423">
          <cell r="A423">
            <v>14699</v>
          </cell>
          <cell r="B423" t="str">
            <v xml:space="preserve">USSA - YAMID GALVIS </v>
          </cell>
        </row>
        <row r="424">
          <cell r="A424">
            <v>14699</v>
          </cell>
          <cell r="B424" t="str">
            <v xml:space="preserve">USSA - YAMID GALVIS </v>
          </cell>
        </row>
        <row r="425">
          <cell r="A425">
            <v>14699</v>
          </cell>
          <cell r="B425" t="str">
            <v xml:space="preserve">USSA - YAMID GALVIS </v>
          </cell>
        </row>
        <row r="426">
          <cell r="A426">
            <v>14699</v>
          </cell>
          <cell r="B426" t="str">
            <v xml:space="preserve">USSA - YAMID GALVIS </v>
          </cell>
        </row>
        <row r="427">
          <cell r="A427">
            <v>14699</v>
          </cell>
          <cell r="B427" t="str">
            <v xml:space="preserve">USSA - YAMID GALVIS </v>
          </cell>
        </row>
        <row r="428">
          <cell r="A428">
            <v>14699</v>
          </cell>
          <cell r="B428" t="str">
            <v xml:space="preserve">USSA - YAMID GALVIS </v>
          </cell>
        </row>
        <row r="429">
          <cell r="A429">
            <v>14699</v>
          </cell>
          <cell r="B429" t="str">
            <v xml:space="preserve">USSA - YAMID GALVIS </v>
          </cell>
        </row>
        <row r="430">
          <cell r="A430">
            <v>14699</v>
          </cell>
          <cell r="B430" t="str">
            <v xml:space="preserve">USSA - YAMID GALVIS </v>
          </cell>
        </row>
        <row r="431">
          <cell r="A431">
            <v>14699</v>
          </cell>
          <cell r="B431" t="str">
            <v xml:space="preserve">USSA - YAMID GALVIS </v>
          </cell>
        </row>
        <row r="432">
          <cell r="A432">
            <v>14699</v>
          </cell>
          <cell r="B432" t="str">
            <v xml:space="preserve">USSA - YAMID GALVIS </v>
          </cell>
        </row>
        <row r="433">
          <cell r="A433">
            <v>14699</v>
          </cell>
          <cell r="B433" t="str">
            <v xml:space="preserve">USSA - YAMID GALVIS </v>
          </cell>
        </row>
        <row r="434">
          <cell r="A434">
            <v>14699</v>
          </cell>
          <cell r="B434" t="str">
            <v xml:space="preserve">USSA - YAMID GALVIS </v>
          </cell>
        </row>
        <row r="435">
          <cell r="A435">
            <v>14699</v>
          </cell>
          <cell r="B435" t="str">
            <v xml:space="preserve">USSA - YAMID GALVIS </v>
          </cell>
        </row>
        <row r="436">
          <cell r="A436">
            <v>14699</v>
          </cell>
          <cell r="B436" t="str">
            <v xml:space="preserve">USSA - YAMID GALVIS </v>
          </cell>
        </row>
        <row r="437">
          <cell r="A437">
            <v>14699</v>
          </cell>
          <cell r="B437" t="str">
            <v xml:space="preserve">USSA - YAMID GALVIS </v>
          </cell>
        </row>
        <row r="438">
          <cell r="A438">
            <v>14699</v>
          </cell>
          <cell r="B438" t="str">
            <v xml:space="preserve">USSA - YAMID GALVIS </v>
          </cell>
        </row>
        <row r="439">
          <cell r="A439">
            <v>14699</v>
          </cell>
          <cell r="B439" t="str">
            <v xml:space="preserve">USSA - YAMID GALVIS </v>
          </cell>
        </row>
        <row r="440">
          <cell r="A440">
            <v>14699</v>
          </cell>
          <cell r="B440" t="str">
            <v xml:space="preserve">USSA - YAMID GALVIS </v>
          </cell>
        </row>
        <row r="441">
          <cell r="A441">
            <v>14699</v>
          </cell>
          <cell r="B441" t="str">
            <v xml:space="preserve">USSA - YAMID GALVIS </v>
          </cell>
        </row>
        <row r="442">
          <cell r="A442">
            <v>14699</v>
          </cell>
          <cell r="B442" t="str">
            <v xml:space="preserve">USSA - YAMID GALVIS </v>
          </cell>
        </row>
        <row r="443">
          <cell r="A443">
            <v>14699</v>
          </cell>
          <cell r="B443" t="str">
            <v xml:space="preserve">USSA - YAMID GALVIS </v>
          </cell>
        </row>
        <row r="444">
          <cell r="A444">
            <v>14699</v>
          </cell>
          <cell r="B444" t="str">
            <v xml:space="preserve">USSA - YAMID GALVIS </v>
          </cell>
        </row>
        <row r="445">
          <cell r="A445">
            <v>14699</v>
          </cell>
          <cell r="B445" t="str">
            <v xml:space="preserve">USSA - YAMID GALVIS </v>
          </cell>
        </row>
        <row r="446">
          <cell r="A446">
            <v>14699</v>
          </cell>
          <cell r="B446" t="str">
            <v xml:space="preserve">USSA - YAMID GALVIS </v>
          </cell>
        </row>
        <row r="447">
          <cell r="A447">
            <v>14699</v>
          </cell>
          <cell r="B447" t="str">
            <v xml:space="preserve">USSA - YAMID GALVIS </v>
          </cell>
        </row>
        <row r="448">
          <cell r="A448">
            <v>14699</v>
          </cell>
          <cell r="B448" t="str">
            <v xml:space="preserve">USSA - YAMID GALVIS </v>
          </cell>
        </row>
        <row r="449">
          <cell r="A449">
            <v>14699</v>
          </cell>
          <cell r="B449" t="str">
            <v xml:space="preserve">USSA - YAMID GALVIS </v>
          </cell>
        </row>
        <row r="450">
          <cell r="A450">
            <v>14699</v>
          </cell>
          <cell r="B450" t="str">
            <v xml:space="preserve">USSA - YAMID GALVIS </v>
          </cell>
        </row>
        <row r="451">
          <cell r="A451">
            <v>14699</v>
          </cell>
          <cell r="B451" t="str">
            <v xml:space="preserve">USSA - YAMID GALVIS </v>
          </cell>
        </row>
        <row r="452">
          <cell r="A452">
            <v>14699</v>
          </cell>
          <cell r="B452" t="str">
            <v xml:space="preserve">USSA - YAMID GALVIS </v>
          </cell>
        </row>
        <row r="453">
          <cell r="A453">
            <v>14699</v>
          </cell>
          <cell r="B453" t="str">
            <v xml:space="preserve">USSA - YAMID GALVIS </v>
          </cell>
        </row>
        <row r="454">
          <cell r="A454">
            <v>14699</v>
          </cell>
          <cell r="B454" t="str">
            <v xml:space="preserve">USSA - YAMID GALVIS </v>
          </cell>
        </row>
        <row r="455">
          <cell r="A455">
            <v>14699</v>
          </cell>
          <cell r="B455" t="str">
            <v xml:space="preserve">USSA - YAMID GALVIS </v>
          </cell>
        </row>
        <row r="456">
          <cell r="A456">
            <v>14699</v>
          </cell>
          <cell r="B456" t="str">
            <v xml:space="preserve">USSA - YAMID GALVIS </v>
          </cell>
        </row>
        <row r="457">
          <cell r="A457">
            <v>14699</v>
          </cell>
          <cell r="B457" t="str">
            <v xml:space="preserve">USSA - YAMID GALVIS </v>
          </cell>
        </row>
        <row r="458">
          <cell r="A458">
            <v>14699</v>
          </cell>
          <cell r="B458" t="str">
            <v xml:space="preserve">USSA - YAMID GALVIS </v>
          </cell>
        </row>
        <row r="459">
          <cell r="A459">
            <v>14699</v>
          </cell>
          <cell r="B459" t="str">
            <v xml:space="preserve">USSA - YAMID GALVIS </v>
          </cell>
        </row>
        <row r="460">
          <cell r="A460">
            <v>14699</v>
          </cell>
          <cell r="B460" t="str">
            <v xml:space="preserve">USSA - YAMID GALVIS </v>
          </cell>
        </row>
        <row r="461">
          <cell r="A461">
            <v>14699</v>
          </cell>
          <cell r="B461" t="str">
            <v xml:space="preserve">USSA - YAMID GALVIS </v>
          </cell>
        </row>
        <row r="462">
          <cell r="A462">
            <v>14699</v>
          </cell>
          <cell r="B462" t="str">
            <v xml:space="preserve">USSA - YAMID GALVIS </v>
          </cell>
        </row>
        <row r="463">
          <cell r="A463">
            <v>14699</v>
          </cell>
          <cell r="B463" t="str">
            <v xml:space="preserve">USSA - YAMID GALVIS </v>
          </cell>
        </row>
        <row r="464">
          <cell r="A464">
            <v>14699</v>
          </cell>
          <cell r="B464" t="str">
            <v xml:space="preserve">USSA - YAMID GALVIS </v>
          </cell>
        </row>
        <row r="465">
          <cell r="A465">
            <v>14699</v>
          </cell>
          <cell r="B465" t="str">
            <v xml:space="preserve">USSA - YAMID GALVIS </v>
          </cell>
        </row>
        <row r="466">
          <cell r="A466">
            <v>14699</v>
          </cell>
          <cell r="B466" t="str">
            <v xml:space="preserve">USSA - YAMID GALVIS </v>
          </cell>
        </row>
        <row r="467">
          <cell r="A467">
            <v>14699</v>
          </cell>
          <cell r="B467" t="str">
            <v xml:space="preserve">USSA - YAMID GALVIS </v>
          </cell>
        </row>
        <row r="468">
          <cell r="A468">
            <v>14699</v>
          </cell>
          <cell r="B468" t="str">
            <v xml:space="preserve">USSA - YAMID GALVIS </v>
          </cell>
        </row>
        <row r="469">
          <cell r="A469">
            <v>14699</v>
          </cell>
          <cell r="B469" t="str">
            <v xml:space="preserve">USSA - YAMID GALVIS </v>
          </cell>
        </row>
        <row r="470">
          <cell r="A470">
            <v>14699</v>
          </cell>
          <cell r="B470" t="str">
            <v xml:space="preserve">USSA - YAMID GALVIS </v>
          </cell>
        </row>
        <row r="471">
          <cell r="A471">
            <v>14699</v>
          </cell>
          <cell r="B471" t="str">
            <v xml:space="preserve">USSA - YAMID GALVIS </v>
          </cell>
        </row>
        <row r="472">
          <cell r="A472">
            <v>14699</v>
          </cell>
          <cell r="B472" t="str">
            <v xml:space="preserve">USSA - YAMID GALVIS </v>
          </cell>
        </row>
        <row r="473">
          <cell r="A473">
            <v>14699</v>
          </cell>
          <cell r="B473" t="str">
            <v xml:space="preserve">USSA - YAMID GALVIS </v>
          </cell>
        </row>
        <row r="474">
          <cell r="A474">
            <v>14699</v>
          </cell>
          <cell r="B474" t="str">
            <v xml:space="preserve">USSA - YAMID GALVIS </v>
          </cell>
        </row>
        <row r="475">
          <cell r="A475">
            <v>14699</v>
          </cell>
          <cell r="B475" t="str">
            <v xml:space="preserve">USSA - YAMID GALVIS </v>
          </cell>
        </row>
        <row r="476">
          <cell r="A476">
            <v>14699</v>
          </cell>
          <cell r="B476" t="str">
            <v xml:space="preserve">USSA - YAMID GALVIS </v>
          </cell>
        </row>
        <row r="477">
          <cell r="A477">
            <v>14699</v>
          </cell>
          <cell r="B477" t="str">
            <v xml:space="preserve">USSA - YAMID GALVIS </v>
          </cell>
        </row>
        <row r="478">
          <cell r="A478">
            <v>14699</v>
          </cell>
          <cell r="B478" t="str">
            <v xml:space="preserve">USSA - YAMID GALVIS </v>
          </cell>
        </row>
        <row r="479">
          <cell r="A479">
            <v>14699</v>
          </cell>
          <cell r="B479" t="str">
            <v xml:space="preserve">USSA - YAMID GALVIS </v>
          </cell>
        </row>
        <row r="480">
          <cell r="A480">
            <v>14699</v>
          </cell>
          <cell r="B480" t="str">
            <v xml:space="preserve">USSA - YAMID GALVIS </v>
          </cell>
        </row>
        <row r="481">
          <cell r="A481">
            <v>14699</v>
          </cell>
          <cell r="B481" t="str">
            <v xml:space="preserve">USSA - YAMID GALVIS </v>
          </cell>
        </row>
        <row r="482">
          <cell r="A482">
            <v>14699</v>
          </cell>
          <cell r="B482" t="str">
            <v xml:space="preserve">USSA - YAMID GALVIS </v>
          </cell>
        </row>
        <row r="483">
          <cell r="A483">
            <v>14699</v>
          </cell>
          <cell r="B483" t="str">
            <v xml:space="preserve">USSA - YAMID GALVIS </v>
          </cell>
        </row>
        <row r="484">
          <cell r="A484">
            <v>14699</v>
          </cell>
          <cell r="B484" t="str">
            <v xml:space="preserve">USSA - YAMID GALVIS </v>
          </cell>
        </row>
        <row r="485">
          <cell r="A485">
            <v>14699</v>
          </cell>
          <cell r="B485" t="str">
            <v xml:space="preserve">USSA - YAMID GALVIS </v>
          </cell>
        </row>
        <row r="486">
          <cell r="A486">
            <v>14699</v>
          </cell>
          <cell r="B486" t="str">
            <v xml:space="preserve">USSA - YAMID GALVIS </v>
          </cell>
        </row>
        <row r="487">
          <cell r="A487">
            <v>14699</v>
          </cell>
          <cell r="B487" t="str">
            <v xml:space="preserve">USSA - YAMID GALVIS </v>
          </cell>
        </row>
        <row r="488">
          <cell r="A488">
            <v>14699</v>
          </cell>
          <cell r="B488" t="str">
            <v xml:space="preserve">USSA - YAMID GALVIS </v>
          </cell>
        </row>
        <row r="489">
          <cell r="A489">
            <v>14699</v>
          </cell>
          <cell r="B489" t="str">
            <v xml:space="preserve">USSA - YAMID GALVIS </v>
          </cell>
        </row>
        <row r="490">
          <cell r="A490">
            <v>14699</v>
          </cell>
          <cell r="B490" t="str">
            <v xml:space="preserve">USSA - YAMID GALVIS </v>
          </cell>
        </row>
        <row r="491">
          <cell r="A491">
            <v>14699</v>
          </cell>
          <cell r="B491" t="str">
            <v xml:space="preserve">USSA - YAMID GALVIS </v>
          </cell>
        </row>
        <row r="492">
          <cell r="A492">
            <v>14699</v>
          </cell>
          <cell r="B492" t="str">
            <v xml:space="preserve">USSA - YAMID GALVIS </v>
          </cell>
        </row>
        <row r="493">
          <cell r="A493">
            <v>14699</v>
          </cell>
          <cell r="B493" t="str">
            <v xml:space="preserve">USSA - YAMID GALVIS </v>
          </cell>
        </row>
        <row r="494">
          <cell r="A494">
            <v>14699</v>
          </cell>
          <cell r="B494" t="str">
            <v xml:space="preserve">USSA - YAMID GALVIS </v>
          </cell>
        </row>
        <row r="495">
          <cell r="A495">
            <v>14699</v>
          </cell>
          <cell r="B495" t="str">
            <v xml:space="preserve">USSA - YAMID GALVIS </v>
          </cell>
        </row>
        <row r="496">
          <cell r="A496">
            <v>14699</v>
          </cell>
          <cell r="B496" t="str">
            <v xml:space="preserve">USSA - YAMID GALVIS </v>
          </cell>
        </row>
        <row r="497">
          <cell r="A497">
            <v>14699</v>
          </cell>
          <cell r="B497" t="str">
            <v xml:space="preserve">USSA - YAMID GALVIS </v>
          </cell>
        </row>
        <row r="498">
          <cell r="A498">
            <v>14699</v>
          </cell>
          <cell r="B498" t="str">
            <v xml:space="preserve">USSA - YAMID GALVIS </v>
          </cell>
        </row>
        <row r="499">
          <cell r="A499">
            <v>14699</v>
          </cell>
          <cell r="B499" t="str">
            <v xml:space="preserve">USSA - YAMID GALVIS </v>
          </cell>
        </row>
        <row r="500">
          <cell r="A500">
            <v>22299</v>
          </cell>
          <cell r="B500" t="str">
            <v>T.I</v>
          </cell>
        </row>
        <row r="501">
          <cell r="A501">
            <v>22303</v>
          </cell>
          <cell r="B501" t="str">
            <v>T.I</v>
          </cell>
        </row>
        <row r="502">
          <cell r="A502">
            <v>22306</v>
          </cell>
          <cell r="B502" t="str">
            <v>T.I</v>
          </cell>
        </row>
        <row r="503">
          <cell r="A503">
            <v>22306</v>
          </cell>
          <cell r="B503" t="str">
            <v>T.I</v>
          </cell>
        </row>
        <row r="504">
          <cell r="A504">
            <v>22314</v>
          </cell>
          <cell r="B504" t="str">
            <v>T.I</v>
          </cell>
        </row>
        <row r="505">
          <cell r="A505">
            <v>22316</v>
          </cell>
          <cell r="B505" t="str">
            <v>PROYECTOS - FABIAN CARRERO</v>
          </cell>
        </row>
        <row r="506">
          <cell r="A506">
            <v>22317</v>
          </cell>
          <cell r="B506" t="str">
            <v>PROYECTOS - FABIAN CARRERO</v>
          </cell>
        </row>
        <row r="507">
          <cell r="A507">
            <v>22317</v>
          </cell>
          <cell r="B507" t="str">
            <v>PROYECTOS - FABIAN CARRERO</v>
          </cell>
        </row>
        <row r="508">
          <cell r="A508">
            <v>22317</v>
          </cell>
          <cell r="B508" t="str">
            <v>PROYECTOS - FABIAN CARRERO</v>
          </cell>
        </row>
        <row r="509">
          <cell r="A509">
            <v>22317</v>
          </cell>
          <cell r="B509" t="str">
            <v>PROYECTOS - FABIAN CARRERO</v>
          </cell>
        </row>
        <row r="510">
          <cell r="A510">
            <v>22317</v>
          </cell>
          <cell r="B510" t="str">
            <v>PROYECTOS - FABIAN CARRERO</v>
          </cell>
        </row>
        <row r="511">
          <cell r="A511">
            <v>41185</v>
          </cell>
          <cell r="B511" t="str">
            <v>USSA - GEOVANNY PALACIOS</v>
          </cell>
        </row>
        <row r="512">
          <cell r="A512">
            <v>41217</v>
          </cell>
          <cell r="B512" t="str">
            <v>USSA - GEOVANNY PALACIOS</v>
          </cell>
        </row>
        <row r="513">
          <cell r="A513">
            <v>41217</v>
          </cell>
          <cell r="B513" t="str">
            <v>USSA - GEOVANNY PALACIOS</v>
          </cell>
        </row>
        <row r="514">
          <cell r="A514">
            <v>41217</v>
          </cell>
          <cell r="B514" t="str">
            <v>USSA - GEOVANNY PALACIOS</v>
          </cell>
        </row>
        <row r="515">
          <cell r="A515">
            <v>41217</v>
          </cell>
          <cell r="B515" t="str">
            <v>USSA - GEOVANNY PALACIOS</v>
          </cell>
        </row>
        <row r="516">
          <cell r="A516">
            <v>41217</v>
          </cell>
          <cell r="B516" t="str">
            <v>USSA - GEOVANNY PALACIOS</v>
          </cell>
        </row>
        <row r="517">
          <cell r="A517">
            <v>41217</v>
          </cell>
          <cell r="B517" t="str">
            <v>USSA - GEOVANNY PALACIOS</v>
          </cell>
        </row>
        <row r="518">
          <cell r="A518">
            <v>41217</v>
          </cell>
          <cell r="B518" t="str">
            <v>USSA - GEOVANNY PALACIOS</v>
          </cell>
        </row>
        <row r="519">
          <cell r="A519">
            <v>41217</v>
          </cell>
          <cell r="B519" t="str">
            <v>USSA - GEOVANNY PALACIOS</v>
          </cell>
        </row>
        <row r="520">
          <cell r="A520">
            <v>41217</v>
          </cell>
          <cell r="B520" t="str">
            <v>USSA - GEOVANNY PALACIOS</v>
          </cell>
        </row>
        <row r="521">
          <cell r="A521">
            <v>41217</v>
          </cell>
          <cell r="B521" t="str">
            <v>USSA - GEOVANNY PALACIOS</v>
          </cell>
        </row>
        <row r="522">
          <cell r="A522">
            <v>41217</v>
          </cell>
          <cell r="B522" t="str">
            <v>USSA - GEOVANNY PALACIOS</v>
          </cell>
        </row>
        <row r="523">
          <cell r="A523">
            <v>41217</v>
          </cell>
          <cell r="B523" t="str">
            <v>USSA - GEOVANNY PALACIOS</v>
          </cell>
        </row>
        <row r="524">
          <cell r="A524">
            <v>41217</v>
          </cell>
          <cell r="B524" t="str">
            <v>USSA - GEOVANNY PALACIOS</v>
          </cell>
        </row>
        <row r="525">
          <cell r="A525">
            <v>41217</v>
          </cell>
          <cell r="B525" t="str">
            <v>USSA - GEOVANNY PALACIOS</v>
          </cell>
        </row>
        <row r="526">
          <cell r="A526">
            <v>41217</v>
          </cell>
          <cell r="B526" t="str">
            <v>USSA - GEOVANNY PALACIOS</v>
          </cell>
        </row>
        <row r="527">
          <cell r="A527">
            <v>41217</v>
          </cell>
          <cell r="B527" t="str">
            <v>USSA - GEOVANNY PALACIOS</v>
          </cell>
        </row>
        <row r="528">
          <cell r="A528">
            <v>41217</v>
          </cell>
          <cell r="B528" t="str">
            <v>USSA - GEOVANNY PALACIOS</v>
          </cell>
        </row>
        <row r="529">
          <cell r="A529">
            <v>41217</v>
          </cell>
          <cell r="B529" t="str">
            <v>USSA - GEOVANNY PALACIOS</v>
          </cell>
        </row>
        <row r="530">
          <cell r="A530">
            <v>41217</v>
          </cell>
          <cell r="B530" t="str">
            <v>USSA - GEOVANNY PALACIOS</v>
          </cell>
        </row>
        <row r="531">
          <cell r="A531">
            <v>41217</v>
          </cell>
          <cell r="B531" t="str">
            <v>USSA - GEOVANNY PALACIOS</v>
          </cell>
        </row>
        <row r="532">
          <cell r="A532">
            <v>41217</v>
          </cell>
          <cell r="B532" t="str">
            <v>USSA - GEOVANNY PALACIOS</v>
          </cell>
        </row>
        <row r="533">
          <cell r="A533">
            <v>41217</v>
          </cell>
          <cell r="B533" t="str">
            <v>USSA - GEOVANNY PALACIOS</v>
          </cell>
        </row>
        <row r="534">
          <cell r="A534">
            <v>41217</v>
          </cell>
          <cell r="B534" t="str">
            <v>USSA - GEOVANNY PALACIOS</v>
          </cell>
        </row>
        <row r="535">
          <cell r="A535">
            <v>41217</v>
          </cell>
          <cell r="B535" t="str">
            <v>USSA - GEOVANNY PALACIOS</v>
          </cell>
        </row>
        <row r="536">
          <cell r="A536">
            <v>41217</v>
          </cell>
          <cell r="B536" t="str">
            <v>USSA - GEOVANNY PALACIOS</v>
          </cell>
        </row>
        <row r="537">
          <cell r="A537">
            <v>41217</v>
          </cell>
          <cell r="B537" t="str">
            <v>USSA - GEOVANNY PALACIOS</v>
          </cell>
        </row>
        <row r="538">
          <cell r="A538">
            <v>41217</v>
          </cell>
          <cell r="B538" t="str">
            <v>USSA - GEOVANNY PALACIOS</v>
          </cell>
        </row>
        <row r="539">
          <cell r="A539">
            <v>41217</v>
          </cell>
          <cell r="B539" t="str">
            <v>USSA - GEOVANNY PALACIOS</v>
          </cell>
        </row>
        <row r="540">
          <cell r="A540">
            <v>41217</v>
          </cell>
          <cell r="B540" t="str">
            <v>USSA - GEOVANNY PALACIOS</v>
          </cell>
        </row>
        <row r="541">
          <cell r="A541">
            <v>41217</v>
          </cell>
          <cell r="B541" t="str">
            <v>USSA - GEOVANNY PALACIOS</v>
          </cell>
        </row>
        <row r="542">
          <cell r="A542">
            <v>41234</v>
          </cell>
          <cell r="B542" t="str">
            <v>USSA - GEOVANNY PALACIOS</v>
          </cell>
        </row>
        <row r="543">
          <cell r="A543">
            <v>41234</v>
          </cell>
          <cell r="B543" t="str">
            <v>USSA - GEOVANNY PALACIOS</v>
          </cell>
        </row>
        <row r="544">
          <cell r="A544">
            <v>41234</v>
          </cell>
          <cell r="B544" t="str">
            <v>USSA - GEOVANNY PALACIOS</v>
          </cell>
        </row>
        <row r="545">
          <cell r="A545">
            <v>41258</v>
          </cell>
          <cell r="B545" t="str">
            <v>UGO</v>
          </cell>
        </row>
        <row r="546">
          <cell r="A546">
            <v>41258</v>
          </cell>
          <cell r="B546" t="str">
            <v>UGO</v>
          </cell>
        </row>
        <row r="547">
          <cell r="A547">
            <v>41258</v>
          </cell>
          <cell r="B547" t="str">
            <v>UGO</v>
          </cell>
        </row>
        <row r="548">
          <cell r="A548">
            <v>41258</v>
          </cell>
          <cell r="B548" t="str">
            <v>UGO</v>
          </cell>
        </row>
        <row r="549">
          <cell r="A549">
            <v>41258</v>
          </cell>
          <cell r="B549" t="str">
            <v>UGO</v>
          </cell>
        </row>
        <row r="550">
          <cell r="A550">
            <v>41258</v>
          </cell>
          <cell r="B550" t="str">
            <v>UGO</v>
          </cell>
        </row>
        <row r="551">
          <cell r="A551">
            <v>41258</v>
          </cell>
          <cell r="B551" t="str">
            <v>UGO</v>
          </cell>
        </row>
        <row r="552">
          <cell r="A552">
            <v>41258</v>
          </cell>
          <cell r="B552" t="str">
            <v>UGO</v>
          </cell>
        </row>
        <row r="553">
          <cell r="A553">
            <v>41258</v>
          </cell>
          <cell r="B553" t="str">
            <v>UGO</v>
          </cell>
        </row>
        <row r="554">
          <cell r="A554">
            <v>41258</v>
          </cell>
          <cell r="B554" t="str">
            <v>UGO</v>
          </cell>
        </row>
        <row r="555">
          <cell r="A555">
            <v>41258</v>
          </cell>
          <cell r="B555" t="str">
            <v>UGO</v>
          </cell>
        </row>
        <row r="556">
          <cell r="A556">
            <v>41258</v>
          </cell>
          <cell r="B556" t="str">
            <v>UGO</v>
          </cell>
        </row>
        <row r="557">
          <cell r="A557">
            <v>41266</v>
          </cell>
          <cell r="B557" t="str">
            <v>T.I</v>
          </cell>
        </row>
        <row r="558">
          <cell r="A558">
            <v>41274</v>
          </cell>
          <cell r="B558" t="str">
            <v>USSA - DIANA DAVILA</v>
          </cell>
        </row>
        <row r="559">
          <cell r="A559">
            <v>41274</v>
          </cell>
          <cell r="B559" t="str">
            <v>USSA - DIANA DAVILA</v>
          </cell>
        </row>
        <row r="560">
          <cell r="A560">
            <v>41274</v>
          </cell>
          <cell r="B560" t="str">
            <v>USSA - DIANA DAVILA</v>
          </cell>
        </row>
        <row r="561">
          <cell r="A561">
            <v>41274</v>
          </cell>
          <cell r="B561" t="str">
            <v>USSA - DIANA DAVILA</v>
          </cell>
        </row>
        <row r="562">
          <cell r="A562">
            <v>41274</v>
          </cell>
          <cell r="B562" t="str">
            <v>USSA - DIANA DAVILA</v>
          </cell>
        </row>
        <row r="563">
          <cell r="A563">
            <v>41274</v>
          </cell>
          <cell r="B563" t="str">
            <v>USSA - DIANA DAVILA</v>
          </cell>
        </row>
        <row r="564">
          <cell r="A564">
            <v>41274</v>
          </cell>
          <cell r="B564" t="str">
            <v>USSA - DIANA DAVILA</v>
          </cell>
        </row>
        <row r="565">
          <cell r="A565">
            <v>41274</v>
          </cell>
          <cell r="B565" t="str">
            <v>USSA - DIANA DAVILA</v>
          </cell>
        </row>
        <row r="566">
          <cell r="A566">
            <v>41274</v>
          </cell>
          <cell r="B566" t="str">
            <v>USSA - DIANA DAVILA</v>
          </cell>
        </row>
        <row r="567">
          <cell r="A567">
            <v>41274</v>
          </cell>
          <cell r="B567" t="str">
            <v>USSA - DIANA DAVILA</v>
          </cell>
        </row>
        <row r="568">
          <cell r="A568">
            <v>41274</v>
          </cell>
          <cell r="B568" t="str">
            <v>USSA - DIANA DAVILA</v>
          </cell>
        </row>
        <row r="569">
          <cell r="A569">
            <v>41274</v>
          </cell>
          <cell r="B569" t="str">
            <v>USSA - DIANA DAVILA</v>
          </cell>
        </row>
        <row r="570">
          <cell r="A570">
            <v>41274</v>
          </cell>
          <cell r="B570" t="str">
            <v>USSA - DIANA DAVILA</v>
          </cell>
        </row>
        <row r="571">
          <cell r="A571">
            <v>41274</v>
          </cell>
          <cell r="B571" t="str">
            <v>USSA - DIANA DAVILA</v>
          </cell>
        </row>
        <row r="572">
          <cell r="A572">
            <v>41274</v>
          </cell>
          <cell r="B572" t="str">
            <v>USSA - DIANA DAVILA</v>
          </cell>
        </row>
        <row r="573">
          <cell r="A573">
            <v>41274</v>
          </cell>
          <cell r="B573" t="str">
            <v>USSA - DIANA DAVILA</v>
          </cell>
        </row>
        <row r="574">
          <cell r="A574">
            <v>41274</v>
          </cell>
          <cell r="B574" t="str">
            <v>USSA - DIANA DAVILA</v>
          </cell>
        </row>
        <row r="575">
          <cell r="A575">
            <v>41274</v>
          </cell>
          <cell r="B575" t="str">
            <v>USSA - DIANA DAVILA</v>
          </cell>
        </row>
        <row r="576">
          <cell r="A576">
            <v>41274</v>
          </cell>
          <cell r="B576" t="str">
            <v>USSA - DIANA DAVILA</v>
          </cell>
        </row>
        <row r="577">
          <cell r="A577">
            <v>41274</v>
          </cell>
          <cell r="B577" t="str">
            <v>USSA - DIANA DAVILA</v>
          </cell>
        </row>
        <row r="578">
          <cell r="A578">
            <v>41274</v>
          </cell>
          <cell r="B578" t="str">
            <v>USSA - DIANA DAVILA</v>
          </cell>
        </row>
        <row r="579">
          <cell r="A579">
            <v>41274</v>
          </cell>
          <cell r="B579" t="str">
            <v>USSA - DIANA DAVILA</v>
          </cell>
        </row>
        <row r="580">
          <cell r="A580">
            <v>41274</v>
          </cell>
          <cell r="B580" t="str">
            <v>USSA - DIANA DAVILA</v>
          </cell>
        </row>
        <row r="581">
          <cell r="A581">
            <v>41274</v>
          </cell>
          <cell r="B581" t="str">
            <v>USSA - DIANA DAVILA</v>
          </cell>
        </row>
        <row r="582">
          <cell r="A582">
            <v>41274</v>
          </cell>
          <cell r="B582" t="str">
            <v>USSA - DIANA DAVILA</v>
          </cell>
        </row>
        <row r="583">
          <cell r="A583">
            <v>41274</v>
          </cell>
          <cell r="B583" t="str">
            <v>USSA - DIANA DAVILA</v>
          </cell>
        </row>
        <row r="584">
          <cell r="A584">
            <v>41283</v>
          </cell>
          <cell r="B584" t="str">
            <v>USSA - FRANCISCO CONTRERAS</v>
          </cell>
        </row>
        <row r="585">
          <cell r="A585">
            <v>41283</v>
          </cell>
          <cell r="B585" t="str">
            <v>USSA - FRANCISCO CONTRERAS</v>
          </cell>
        </row>
        <row r="586">
          <cell r="A586">
            <v>41287</v>
          </cell>
          <cell r="B586" t="str">
            <v>T.I</v>
          </cell>
        </row>
        <row r="587">
          <cell r="A587">
            <v>41287</v>
          </cell>
          <cell r="B587" t="str">
            <v>T.I</v>
          </cell>
        </row>
        <row r="588">
          <cell r="A588">
            <v>41287</v>
          </cell>
          <cell r="B588" t="str">
            <v>T.I</v>
          </cell>
        </row>
        <row r="589">
          <cell r="A589">
            <v>41310</v>
          </cell>
          <cell r="B589" t="str">
            <v>PROYECTOS - FABIAN CARRERO</v>
          </cell>
        </row>
        <row r="590">
          <cell r="A590">
            <v>41319</v>
          </cell>
          <cell r="B590" t="str">
            <v>SUBESTACIONES</v>
          </cell>
        </row>
        <row r="591">
          <cell r="A591">
            <v>41319</v>
          </cell>
          <cell r="B591" t="str">
            <v>SUBESTACIONES</v>
          </cell>
        </row>
        <row r="592">
          <cell r="A592">
            <v>1680382</v>
          </cell>
          <cell r="B592" t="str">
            <v>USSA - LAURA ESTEBAN</v>
          </cell>
        </row>
        <row r="593">
          <cell r="A593">
            <v>1680494</v>
          </cell>
          <cell r="B593" t="str">
            <v>USSA - MARIA FERNANDA RIVERA</v>
          </cell>
        </row>
        <row r="594">
          <cell r="A594">
            <v>1680495</v>
          </cell>
          <cell r="B594" t="str">
            <v>USSA - MARIA FERNANDA RIVERA</v>
          </cell>
        </row>
        <row r="595">
          <cell r="A595">
            <v>104225</v>
          </cell>
          <cell r="B595" t="str">
            <v>ALMACENES</v>
          </cell>
        </row>
        <row r="596">
          <cell r="A596">
            <v>104225</v>
          </cell>
          <cell r="B596" t="str">
            <v>ALMACENES</v>
          </cell>
        </row>
        <row r="597">
          <cell r="A597">
            <v>104228</v>
          </cell>
          <cell r="B597" t="str">
            <v>ALMACENES</v>
          </cell>
        </row>
        <row r="598">
          <cell r="A598">
            <v>104228</v>
          </cell>
          <cell r="B598" t="str">
            <v>ALMACENES</v>
          </cell>
        </row>
        <row r="599">
          <cell r="A599">
            <v>104228</v>
          </cell>
          <cell r="B599" t="str">
            <v>ALMACENES</v>
          </cell>
        </row>
        <row r="600">
          <cell r="A600">
            <v>104228</v>
          </cell>
          <cell r="B600" t="str">
            <v>ALMACENES</v>
          </cell>
        </row>
        <row r="601">
          <cell r="A601">
            <v>104228</v>
          </cell>
          <cell r="B601" t="str">
            <v>ALMACENES</v>
          </cell>
        </row>
        <row r="602">
          <cell r="A602">
            <v>104228</v>
          </cell>
          <cell r="B602" t="str">
            <v>ALMACENES</v>
          </cell>
        </row>
        <row r="603">
          <cell r="A603">
            <v>104236</v>
          </cell>
          <cell r="B603" t="str">
            <v>ALMACENES</v>
          </cell>
        </row>
        <row r="604">
          <cell r="A604">
            <v>104236</v>
          </cell>
          <cell r="B604" t="str">
            <v>ALMACENES</v>
          </cell>
        </row>
        <row r="605">
          <cell r="A605">
            <v>104236</v>
          </cell>
          <cell r="B605" t="str">
            <v>ALMACENES</v>
          </cell>
        </row>
        <row r="606">
          <cell r="A606">
            <v>104236</v>
          </cell>
          <cell r="B606" t="str">
            <v>ALMACENES</v>
          </cell>
        </row>
        <row r="607">
          <cell r="A607">
            <v>104236</v>
          </cell>
          <cell r="B607" t="str">
            <v>ALMACENES</v>
          </cell>
        </row>
        <row r="608">
          <cell r="A608">
            <v>104236</v>
          </cell>
          <cell r="B608" t="str">
            <v>ALMACENES</v>
          </cell>
        </row>
        <row r="609">
          <cell r="A609">
            <v>104236</v>
          </cell>
          <cell r="B609" t="str">
            <v>ALMACENES</v>
          </cell>
        </row>
        <row r="610">
          <cell r="A610">
            <v>104236</v>
          </cell>
          <cell r="B610" t="str">
            <v>ALMACENES</v>
          </cell>
        </row>
        <row r="611">
          <cell r="A611">
            <v>104236</v>
          </cell>
          <cell r="B611" t="str">
            <v>ALMACENES</v>
          </cell>
        </row>
        <row r="612">
          <cell r="A612">
            <v>104236</v>
          </cell>
          <cell r="B612" t="str">
            <v>ALMACENES</v>
          </cell>
        </row>
        <row r="613">
          <cell r="A613">
            <v>104236</v>
          </cell>
          <cell r="B613" t="str">
            <v>ALMACENES</v>
          </cell>
        </row>
        <row r="614">
          <cell r="A614">
            <v>104236</v>
          </cell>
          <cell r="B614" t="str">
            <v>ALMACENES</v>
          </cell>
        </row>
        <row r="615">
          <cell r="A615">
            <v>104236</v>
          </cell>
          <cell r="B615" t="str">
            <v>ALMACENES</v>
          </cell>
        </row>
        <row r="616">
          <cell r="A616">
            <v>104236</v>
          </cell>
          <cell r="B616" t="str">
            <v>ALMACENES</v>
          </cell>
        </row>
        <row r="617">
          <cell r="A617">
            <v>104236</v>
          </cell>
          <cell r="B617" t="str">
            <v>ALMACENES</v>
          </cell>
        </row>
        <row r="618">
          <cell r="A618">
            <v>104236</v>
          </cell>
          <cell r="B618" t="str">
            <v>ALMACENES</v>
          </cell>
        </row>
        <row r="619">
          <cell r="A619">
            <v>104236</v>
          </cell>
          <cell r="B619" t="str">
            <v>ALMACENES</v>
          </cell>
        </row>
        <row r="620">
          <cell r="A620">
            <v>104236</v>
          </cell>
          <cell r="B620" t="str">
            <v>ALMACENES</v>
          </cell>
        </row>
        <row r="621">
          <cell r="A621">
            <v>104236</v>
          </cell>
          <cell r="B621" t="str">
            <v>ALMACENES</v>
          </cell>
        </row>
        <row r="622">
          <cell r="A622">
            <v>104236</v>
          </cell>
          <cell r="B622" t="str">
            <v>ALMACENES</v>
          </cell>
        </row>
        <row r="623">
          <cell r="A623">
            <v>104236</v>
          </cell>
          <cell r="B623" t="str">
            <v>ALMACENES</v>
          </cell>
        </row>
        <row r="624">
          <cell r="A624">
            <v>104236</v>
          </cell>
          <cell r="B624" t="str">
            <v>ALMACENES</v>
          </cell>
        </row>
        <row r="625">
          <cell r="A625">
            <v>104236</v>
          </cell>
          <cell r="B625" t="str">
            <v>ALMACENES</v>
          </cell>
        </row>
        <row r="626">
          <cell r="A626">
            <v>104236</v>
          </cell>
          <cell r="B626" t="str">
            <v>ALMACENES</v>
          </cell>
        </row>
        <row r="627">
          <cell r="A627">
            <v>104236</v>
          </cell>
          <cell r="B627" t="str">
            <v>ALMACENES</v>
          </cell>
        </row>
        <row r="628">
          <cell r="A628">
            <v>104236</v>
          </cell>
          <cell r="B628" t="str">
            <v>ALMACENES</v>
          </cell>
        </row>
        <row r="629">
          <cell r="A629">
            <v>104236</v>
          </cell>
          <cell r="B629" t="str">
            <v>ALMACENES</v>
          </cell>
        </row>
        <row r="630">
          <cell r="A630">
            <v>104236</v>
          </cell>
          <cell r="B630" t="str">
            <v>ALMACENES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92.446004166668" createdVersion="8" refreshedVersion="8" minRefreshableVersion="3" recordCount="405" xr:uid="{9EF0F889-5B0D-4602-A538-87B7B5A4BC56}">
  <cacheSource type="worksheet">
    <worksheetSource name="Tabla1"/>
  </cacheSource>
  <cacheFields count="28">
    <cacheField name="RESPONSABLE" numFmtId="0">
      <sharedItems count="11">
        <s v="DISTRIBUCIÓN"/>
        <s v="PROYECTOS"/>
        <s v="SUBESTACIONES"/>
        <s v="USSA - GEOVANNY PALACIOS"/>
        <s v="ALMACENES"/>
        <s v="COMERCIAL"/>
        <s v="USSA - FRANCISCO CONTRERAS"/>
        <s v="T.I"/>
        <s v="USSA - DIANA DAVILA"/>
        <s v="USSA - LAURA ESTEBAN"/>
        <s v="USSA - MARIA FERNANDA RIVERA"/>
      </sharedItems>
    </cacheField>
    <cacheField name="Número activo" numFmtId="0">
      <sharedItems containsString="0" containsBlank="1" containsNumber="1" containsInteger="1" minValue="28442" maxValue="468426"/>
    </cacheField>
    <cacheField name="Explicación" numFmtId="49">
      <sharedItems/>
    </cacheField>
    <cacheField name="Importe                     " numFmtId="0">
      <sharedItems containsSemiMixedTypes="0" containsString="0" containsNumber="1" minValue="-100521822.89" maxValue="310498472.89999998"/>
    </cacheField>
    <cacheField name="Tipo doc" numFmtId="49">
      <sharedItems count="9">
        <s v="AT"/>
        <s v="J4"/>
        <s v="JE"/>
        <s v="JH"/>
        <s v="KZ"/>
        <s v="O1"/>
        <s v="OV"/>
        <s v="PV"/>
        <s v="RI"/>
      </sharedItems>
    </cacheField>
    <cacheField name="Número documento" numFmtId="0">
      <sharedItems containsSemiMixedTypes="0" containsString="0" containsNumber="1" containsInteger="1" minValue="1275" maxValue="1680495" count="133">
        <n v="69492"/>
        <n v="40103"/>
        <n v="40104"/>
        <n v="40105"/>
        <n v="40106"/>
        <n v="40107"/>
        <n v="40108"/>
        <n v="40110"/>
        <n v="40111"/>
        <n v="40112"/>
        <n v="40113"/>
        <n v="40114"/>
        <n v="40115"/>
        <n v="40116"/>
        <n v="40117"/>
        <n v="40118"/>
        <n v="40119"/>
        <n v="40121"/>
        <n v="40122"/>
        <n v="40123"/>
        <n v="40124"/>
        <n v="40125"/>
        <n v="40126"/>
        <n v="40127"/>
        <n v="40128"/>
        <n v="40129"/>
        <n v="40130"/>
        <n v="40132"/>
        <n v="40133"/>
        <n v="40134"/>
        <n v="40135"/>
        <n v="40136"/>
        <n v="40137"/>
        <n v="40138"/>
        <n v="40139"/>
        <n v="40140"/>
        <n v="40141"/>
        <n v="40143"/>
        <n v="40144"/>
        <n v="40145"/>
        <n v="40146"/>
        <n v="40147"/>
        <n v="40148"/>
        <n v="40149"/>
        <n v="40150"/>
        <n v="40151"/>
        <n v="40152"/>
        <n v="40154"/>
        <n v="40215"/>
        <n v="40217"/>
        <n v="40218"/>
        <n v="40219"/>
        <n v="40220"/>
        <n v="40221"/>
        <n v="40222"/>
        <n v="40223"/>
        <n v="40224"/>
        <n v="40225"/>
        <n v="40226"/>
        <n v="40228"/>
        <n v="40229"/>
        <n v="40230"/>
        <n v="40231"/>
        <n v="40232"/>
        <n v="40233"/>
        <n v="40234"/>
        <n v="40235"/>
        <n v="40236"/>
        <n v="40237"/>
        <n v="40239"/>
        <n v="40240"/>
        <n v="40241"/>
        <n v="40242"/>
        <n v="40243"/>
        <n v="40244"/>
        <n v="40245"/>
        <n v="40246"/>
        <n v="40247"/>
        <n v="40248"/>
        <n v="40250"/>
        <n v="40251"/>
        <n v="40252"/>
        <n v="40253"/>
        <n v="40254"/>
        <n v="40255"/>
        <n v="40256"/>
        <n v="40257"/>
        <n v="40258"/>
        <n v="40259"/>
        <n v="40261"/>
        <n v="40262"/>
        <n v="40263"/>
        <n v="40264"/>
        <n v="40265"/>
        <n v="40266"/>
        <n v="9292"/>
        <n v="1551"/>
        <n v="1275"/>
        <n v="1276"/>
        <n v="1277"/>
        <n v="1280"/>
        <n v="1283"/>
        <n v="1284"/>
        <n v="204919"/>
        <n v="204920"/>
        <n v="203175"/>
        <n v="203178"/>
        <n v="203257"/>
        <n v="203985"/>
        <n v="204087"/>
        <n v="204092"/>
        <n v="204349"/>
        <n v="204421"/>
        <n v="204516"/>
        <n v="204642"/>
        <n v="204674"/>
        <n v="204839"/>
        <n v="204908"/>
        <n v="204909"/>
        <n v="204910"/>
        <n v="204911"/>
        <n v="204912"/>
        <n v="204913"/>
        <n v="204914"/>
        <n v="204915"/>
        <n v="204918"/>
        <n v="22306"/>
        <n v="41185"/>
        <n v="41274"/>
        <n v="41283"/>
        <n v="1680382"/>
        <n v="1680494"/>
        <n v="1680495"/>
      </sharedItems>
    </cacheField>
    <cacheField name="Fecha libro mayor" numFmtId="168">
      <sharedItems containsSemiMixedTypes="0" containsNonDate="0" containsDate="1" containsString="0" minDate="2025-11-05T00:00:00" maxDate="2025-12-01T00:00:00"/>
    </cacheField>
    <cacheField name="Cd rtn" numFmtId="49">
      <sharedItems containsBlank="1"/>
    </cacheField>
    <cacheField name="Cd contzn" numFmtId="49">
      <sharedItems/>
    </cacheField>
    <cacheField name="Número línea" numFmtId="0">
      <sharedItems containsSemiMixedTypes="0" containsString="0" containsNumber="1" containsInteger="1" minValue="1" maxValue="52"/>
    </cacheField>
    <cacheField name="Explicación2" numFmtId="49">
      <sharedItems/>
    </cacheField>
    <cacheField name="Cd fact" numFmtId="49">
      <sharedItems/>
    </cacheField>
    <cacheField name="Código DOI" numFmtId="0">
      <sharedItems containsNonDate="0" containsString="0" containsBlank="1"/>
    </cacheField>
    <cacheField name="Unidades" numFmtId="0">
      <sharedItems containsString="0" containsBlank="1" containsNumber="1" containsInteger="1" minValue="-100377687" maxValue="136269800"/>
    </cacheField>
    <cacheField name="UM" numFmtId="49">
      <sharedItems/>
    </cacheField>
    <cacheField name="Cuenta" numFmtId="49">
      <sharedItems count="34">
        <s v="33PLANPER015.161505.02041021"/>
        <s v="        0533.165002.02010101"/>
        <s v="33REPOLINEAS.161515.02300456"/>
        <s v=" 333SOCANITA.161515.02300456"/>
        <s v="33NORMSEVILL.161514.02300356"/>
        <s v="33SALTODPOZO.161515.02300456"/>
        <s v="33INSUGUADUA.161515.02300456"/>
        <s v="33SANROQSARD.161515.02300456"/>
        <s v=" 33SUBTONCHA.161514.02300456"/>
        <s v="    33MCIAPY.161505.02491054"/>
        <s v="        0533.199999.02010103"/>
        <s v="        0533.167502.02010101"/>
        <s v="    33MCIAPY.161505.02491052"/>
        <s v="    33MCIAPY.161504.02491052"/>
        <s v="    33MCIAPY.161505.02491181"/>
        <s v="        0533.163507.02010101"/>
        <s v="        0533.164512.02300267"/>
        <s v=" 331MTTODIST.161505.02030101"/>
        <s v="    05337700.754002.01550101"/>
        <s v="        0598.167002.02010102"/>
        <s v="331EXPREPRIC.161505.02051021"/>
        <s v="331EXPRESECC.161505.02041021"/>
        <s v="331REPOPRIMC.161505.02052021"/>
        <s v="331REPOSECUC.161505.02042021"/>
        <s v="331EXPREPRIC.161505.02051022"/>
        <s v="331EXPRESECC.161505.02041022"/>
        <s v="331REPOPRIMC.161505.02052022"/>
        <s v="331REPOSECUC.161505.02042022"/>
        <s v="331REPOPRIMC.161505.02052026"/>
        <s v="33REPOLINEAS.161505.02092026"/>
        <s v="    05337700.754001.01550101"/>
        <s v="    05347200.754001.01550101"/>
        <s v="    05337700.580802.01300104"/>
        <s v="    05337500.580802.01300104"/>
      </sharedItems>
    </cacheField>
    <cacheField name="Tipo LM" numFmtId="49">
      <sharedItems/>
    </cacheField>
    <cacheField name="Tp LM aux" numFmtId="49">
      <sharedItems/>
    </cacheField>
    <cacheField name="Libro mayor auxiliar" numFmtId="49">
      <sharedItems/>
    </cacheField>
    <cacheField name="Compañía documento" numFmtId="49">
      <sharedItems/>
    </cacheField>
    <cacheField name="Compañía" numFmtId="49">
      <sharedItems/>
    </cacheField>
    <cacheField name="Número batch" numFmtId="0">
      <sharedItems containsSemiMixedTypes="0" containsString="0" containsNumber="1" containsInteger="1" minValue="1935475" maxValue="1944741"/>
    </cacheField>
    <cacheField name="Tipo batch" numFmtId="49">
      <sharedItems/>
    </cacheField>
    <cacheField name="Extensión línea" numFmtId="49">
      <sharedItems/>
    </cacheField>
    <cacheField name="Número unidad" numFmtId="49">
      <sharedItems containsBlank="1"/>
    </cacheField>
    <cacheField name="Número serie" numFmtId="49">
      <sharedItems containsBlank="1"/>
    </cacheField>
    <cacheField name="Orden de compra" numFmtId="49">
      <sharedItems/>
    </cacheField>
    <cacheField name="Importe de monedas" numFmtId="0">
      <sharedItems containsString="0" containsBlank="1" containsNumber="1" minValue="9279.7800000000007" maxValue="82992.8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n v="429257"/>
    <s v="Distrib.Preactivo-Act.Operativ"/>
    <n v="-1838347.4"/>
    <x v="0"/>
    <x v="0"/>
    <d v="2025-11-30T00:00:00"/>
    <s v=" "/>
    <s v=" "/>
    <n v="1"/>
    <s v="División de A/F"/>
    <s v=" "/>
    <m/>
    <m/>
    <s v=" "/>
    <x v="0"/>
    <s v="AA"/>
    <s v=" "/>
    <s v=" "/>
    <s v="00533"/>
    <s v="00533"/>
    <n v="1944741"/>
    <s v="G"/>
    <s v=" "/>
    <s v=" "/>
    <s v=" "/>
    <s v=" "/>
    <m/>
  </r>
  <r>
    <x v="0"/>
    <n v="468426"/>
    <s v="Distrib.Preactivo-Act.Operativ"/>
    <n v="1838347.4"/>
    <x v="0"/>
    <x v="0"/>
    <d v="2025-11-30T00:00:00"/>
    <s v=" "/>
    <s v=" "/>
    <n v="2"/>
    <s v="División de A/F"/>
    <s v=" "/>
    <m/>
    <m/>
    <s v=" "/>
    <x v="1"/>
    <s v="AA"/>
    <s v=" "/>
    <s v=" "/>
    <s v="00533"/>
    <s v="00533"/>
    <n v="1944741"/>
    <s v="G"/>
    <s v=" "/>
    <s v=" "/>
    <s v=" "/>
    <s v=" "/>
    <m/>
  </r>
  <r>
    <x v="1"/>
    <n v="327543"/>
    <s v=" "/>
    <n v="-115281.32"/>
    <x v="1"/>
    <x v="1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54998.85"/>
    <x v="1"/>
    <x v="2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23928.560000000001"/>
    <x v="1"/>
    <x v="3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176.25"/>
    <x v="1"/>
    <x v="4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28237.29"/>
    <x v="1"/>
    <x v="5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8387.0300000000007"/>
    <x v="1"/>
    <x v="6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2411.63"/>
    <x v="1"/>
    <x v="7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3720.31"/>
    <x v="1"/>
    <x v="8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307494.69"/>
    <x v="1"/>
    <x v="9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105222.66"/>
    <x v="1"/>
    <x v="10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36591.56"/>
    <x v="1"/>
    <x v="11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243600.51"/>
    <x v="1"/>
    <x v="12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74980.13"/>
    <x v="1"/>
    <x v="13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41945.47"/>
    <x v="1"/>
    <x v="14"/>
    <d v="2025-11-30T00:00:00"/>
    <m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08810.52"/>
    <x v="1"/>
    <x v="15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-212457.88"/>
    <x v="1"/>
    <x v="16"/>
    <d v="2025-11-30T00:00:00"/>
    <s v=" "/>
    <s v=" "/>
    <n v="2"/>
    <s v="Interfaz Deuda JDE"/>
    <s v=" "/>
    <m/>
    <m/>
    <s v=" "/>
    <x v="2"/>
    <s v="AA"/>
    <s v="A"/>
    <s v="00007680"/>
    <s v="00598"/>
    <s v="00533"/>
    <n v="1944733"/>
    <s v="G"/>
    <s v=" "/>
    <s v=" "/>
    <s v=" "/>
    <s v=" "/>
    <m/>
  </r>
  <r>
    <x v="1"/>
    <n v="327543"/>
    <s v=" "/>
    <n v="-1551042.5600000001"/>
    <x v="1"/>
    <x v="17"/>
    <d v="2025-11-30T00:00:00"/>
    <s v=" "/>
    <s v=" "/>
    <n v="2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327543"/>
    <s v=" "/>
    <n v="-415836.5"/>
    <x v="1"/>
    <x v="18"/>
    <d v="2025-11-30T00:00:00"/>
    <s v=" "/>
    <s v=" "/>
    <n v="2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327543"/>
    <s v=" "/>
    <n v="286958.42"/>
    <x v="1"/>
    <x v="19"/>
    <d v="2025-11-30T00:00:00"/>
    <s v=" "/>
    <s v=" "/>
    <n v="2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327543"/>
    <s v=" "/>
    <n v="220423.05"/>
    <x v="1"/>
    <x v="20"/>
    <d v="2025-11-30T00:00:00"/>
    <s v=" "/>
    <s v=" "/>
    <n v="2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7"/>
    <s v=" "/>
    <n v="9133.08"/>
    <x v="1"/>
    <x v="21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54584.11"/>
    <x v="1"/>
    <x v="21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7497.97"/>
    <x v="1"/>
    <x v="22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45768.54"/>
    <x v="1"/>
    <x v="22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56765.83"/>
    <x v="1"/>
    <x v="23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341673.86"/>
    <x v="1"/>
    <x v="23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67348.399999999994"/>
    <x v="1"/>
    <x v="24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412866.44"/>
    <x v="1"/>
    <x v="24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97805.9"/>
    <x v="1"/>
    <x v="25"/>
    <d v="2025-11-30T00:00:00"/>
    <s v=" "/>
    <s v=" "/>
    <n v="3"/>
    <s v="Interfaz Deuda JDE"/>
    <s v=" "/>
    <m/>
    <m/>
    <s v=" "/>
    <x v="3"/>
    <s v="AA"/>
    <s v="A"/>
    <s v="00007737"/>
    <s v="00598"/>
    <s v="00533"/>
    <n v="1944733"/>
    <s v="G"/>
    <s v=" "/>
    <s v=" "/>
    <s v=" "/>
    <s v=" "/>
    <m/>
  </r>
  <r>
    <x v="1"/>
    <n v="327543"/>
    <s v=" "/>
    <n v="641583.93999999994"/>
    <x v="1"/>
    <x v="25"/>
    <d v="2025-11-30T00:00:00"/>
    <s v=" "/>
    <s v=" "/>
    <n v="4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7"/>
    <s v=" "/>
    <n v="-187003.85"/>
    <x v="1"/>
    <x v="26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-116927.79"/>
    <x v="1"/>
    <x v="26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-1338221.06"/>
    <x v="1"/>
    <x v="26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-36094.83"/>
    <x v="1"/>
    <x v="26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511302.17"/>
    <x v="1"/>
    <x v="27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319701.62"/>
    <x v="1"/>
    <x v="27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3192111.34"/>
    <x v="1"/>
    <x v="27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98689.77"/>
    <x v="1"/>
    <x v="27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520671.04"/>
    <x v="1"/>
    <x v="28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325559.69"/>
    <x v="1"/>
    <x v="28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3261083.46"/>
    <x v="1"/>
    <x v="28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00498.12"/>
    <x v="1"/>
    <x v="28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104566.79"/>
    <x v="1"/>
    <x v="29"/>
    <d v="2025-11-30T00:00:00"/>
    <s v=" "/>
    <s v=" "/>
    <n v="5"/>
    <s v="Interfaz Deuda JDE"/>
    <s v=" "/>
    <m/>
    <m/>
    <s v=" "/>
    <x v="3"/>
    <s v="AA"/>
    <s v="A"/>
    <s v="00007846"/>
    <s v="00598"/>
    <s v="00533"/>
    <n v="1944733"/>
    <s v="G"/>
    <s v=" "/>
    <s v=" "/>
    <s v=" "/>
    <s v=" "/>
    <m/>
  </r>
  <r>
    <x v="2"/>
    <n v="438068"/>
    <s v=" "/>
    <n v="65382.42"/>
    <x v="1"/>
    <x v="29"/>
    <d v="2025-11-30T00:00:00"/>
    <s v=" "/>
    <s v=" "/>
    <n v="6"/>
    <s v="Interfaz Deuda JDE"/>
    <s v=" "/>
    <m/>
    <m/>
    <s v=" "/>
    <x v="4"/>
    <s v="AA"/>
    <s v="A"/>
    <s v="00007846"/>
    <s v="00598"/>
    <s v="00533"/>
    <n v="1944733"/>
    <s v="G"/>
    <s v=" "/>
    <s v=" "/>
    <s v=" "/>
    <s v=" "/>
    <m/>
  </r>
  <r>
    <x v="1"/>
    <n v="327543"/>
    <s v=" "/>
    <n v="680906.32"/>
    <x v="1"/>
    <x v="29"/>
    <d v="2025-11-30T00:00:00"/>
    <s v=" "/>
    <s v=" "/>
    <n v="7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6"/>
    <s v=" "/>
    <n v="20183.12"/>
    <x v="1"/>
    <x v="29"/>
    <d v="2025-11-30T00:00:00"/>
    <s v=" "/>
    <s v=" "/>
    <n v="8"/>
    <s v="Interfaz Deuda JDE"/>
    <s v=" "/>
    <m/>
    <m/>
    <s v=" "/>
    <x v="5"/>
    <s v="AA"/>
    <s v="A"/>
    <s v="00007846"/>
    <s v="00598"/>
    <s v="00533"/>
    <n v="1944733"/>
    <s v="G"/>
    <s v=" "/>
    <s v=" "/>
    <s v=" "/>
    <s v=" "/>
    <m/>
  </r>
  <r>
    <x v="1"/>
    <n v="439097"/>
    <s v=" "/>
    <n v="95220.96"/>
    <x v="1"/>
    <x v="30"/>
    <d v="2025-11-30T00:00:00"/>
    <s v=" "/>
    <s v=" "/>
    <n v="5"/>
    <s v="Interfaz Deuda JDE"/>
    <s v=" "/>
    <m/>
    <m/>
    <s v=" "/>
    <x v="3"/>
    <s v="AA"/>
    <s v="A"/>
    <s v="00007846"/>
    <s v="00598"/>
    <s v="00533"/>
    <n v="1944733"/>
    <s v="G"/>
    <s v=" "/>
    <s v=" "/>
    <s v=" "/>
    <s v=" "/>
    <m/>
  </r>
  <r>
    <x v="2"/>
    <n v="438068"/>
    <s v=" "/>
    <n v="59538.76"/>
    <x v="1"/>
    <x v="30"/>
    <d v="2025-11-30T00:00:00"/>
    <s v=" "/>
    <s v=" "/>
    <n v="6"/>
    <s v="Interfaz Deuda JDE"/>
    <s v=" "/>
    <m/>
    <m/>
    <s v=" "/>
    <x v="4"/>
    <s v="AA"/>
    <s v="A"/>
    <s v="00007846"/>
    <s v="00598"/>
    <s v="00533"/>
    <n v="1944733"/>
    <s v="G"/>
    <s v=" "/>
    <s v=" "/>
    <s v=" "/>
    <s v=" "/>
    <m/>
  </r>
  <r>
    <x v="1"/>
    <n v="327543"/>
    <s v=" "/>
    <n v="621016.19999999995"/>
    <x v="1"/>
    <x v="30"/>
    <d v="2025-11-30T00:00:00"/>
    <s v=" "/>
    <s v=" "/>
    <n v="7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6"/>
    <s v=" "/>
    <n v="18379.22"/>
    <x v="1"/>
    <x v="30"/>
    <d v="2025-11-30T00:00:00"/>
    <s v=" "/>
    <s v=" "/>
    <n v="8"/>
    <s v="Interfaz Deuda JDE"/>
    <s v=" "/>
    <m/>
    <m/>
    <s v=" "/>
    <x v="5"/>
    <s v="AA"/>
    <s v="A"/>
    <s v="00007846"/>
    <s v="00598"/>
    <s v="00533"/>
    <n v="1944733"/>
    <s v="G"/>
    <s v=" "/>
    <s v=" "/>
    <s v=" "/>
    <s v=" "/>
    <m/>
  </r>
  <r>
    <x v="1"/>
    <n v="439097"/>
    <s v=" "/>
    <n v="116116.65"/>
    <x v="1"/>
    <x v="31"/>
    <d v="2025-11-30T00:00:00"/>
    <s v=" "/>
    <s v=" "/>
    <n v="5"/>
    <s v="Interfaz Deuda JDE"/>
    <s v=" "/>
    <m/>
    <m/>
    <s v=" "/>
    <x v="3"/>
    <s v="AA"/>
    <s v="A"/>
    <s v="00007737"/>
    <s v="00598"/>
    <s v="00533"/>
    <n v="1944733"/>
    <s v="G"/>
    <s v=" "/>
    <s v=" "/>
    <s v=" "/>
    <s v=" "/>
    <m/>
  </r>
  <r>
    <x v="2"/>
    <n v="438068"/>
    <s v=" "/>
    <n v="72604.19"/>
    <x v="1"/>
    <x v="31"/>
    <d v="2025-11-30T00:00:00"/>
    <s v=" "/>
    <s v=" "/>
    <n v="6"/>
    <s v="Interfaz Deuda JDE"/>
    <s v=" "/>
    <m/>
    <m/>
    <s v=" "/>
    <x v="4"/>
    <s v="AA"/>
    <s v="A"/>
    <s v="00007737"/>
    <s v="00598"/>
    <s v="00533"/>
    <n v="1944733"/>
    <s v="G"/>
    <s v=" "/>
    <s v=" "/>
    <s v=" "/>
    <s v=" "/>
    <m/>
  </r>
  <r>
    <x v="1"/>
    <n v="327543"/>
    <s v=" "/>
    <n v="754841.73"/>
    <x v="1"/>
    <x v="31"/>
    <d v="2025-11-30T00:00:00"/>
    <s v=" "/>
    <s v=" "/>
    <n v="7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6"/>
    <s v=" "/>
    <n v="22412.43"/>
    <x v="1"/>
    <x v="31"/>
    <d v="2025-11-30T00:00:00"/>
    <s v=" "/>
    <s v=" "/>
    <n v="8"/>
    <s v="Interfaz Deuda JDE"/>
    <s v=" "/>
    <m/>
    <m/>
    <s v=" "/>
    <x v="5"/>
    <s v="AA"/>
    <s v="A"/>
    <s v="00007737"/>
    <s v="00598"/>
    <s v="00533"/>
    <n v="1944733"/>
    <s v="G"/>
    <s v=" "/>
    <s v=" "/>
    <s v=" "/>
    <s v=" "/>
    <m/>
  </r>
  <r>
    <x v="1"/>
    <n v="327543"/>
    <s v=" "/>
    <n v="-251004.39"/>
    <x v="1"/>
    <x v="32"/>
    <d v="2025-11-30T00:00:00"/>
    <s v=" "/>
    <s v=" "/>
    <n v="2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7"/>
    <s v=" "/>
    <n v="47246.15"/>
    <x v="1"/>
    <x v="33"/>
    <d v="2025-11-30T00:00:00"/>
    <s v=" "/>
    <s v=" "/>
    <n v="5"/>
    <s v="Interfaz Deuda JDE"/>
    <s v=" "/>
    <m/>
    <m/>
    <s v=" "/>
    <x v="3"/>
    <s v="AA"/>
    <s v="A"/>
    <s v="00007737"/>
    <s v="00598"/>
    <s v="00533"/>
    <n v="1944733"/>
    <s v="G"/>
    <s v=" "/>
    <s v=" "/>
    <s v=" "/>
    <s v=" "/>
    <m/>
  </r>
  <r>
    <x v="2"/>
    <n v="438068"/>
    <s v=" "/>
    <n v="29541.58"/>
    <x v="1"/>
    <x v="33"/>
    <d v="2025-11-30T00:00:00"/>
    <s v=" "/>
    <s v=" "/>
    <n v="6"/>
    <s v="Interfaz Deuda JDE"/>
    <s v=" "/>
    <m/>
    <m/>
    <s v=" "/>
    <x v="4"/>
    <s v="AA"/>
    <s v="A"/>
    <s v="00007737"/>
    <s v="00598"/>
    <s v="00533"/>
    <n v="1944733"/>
    <s v="G"/>
    <s v=" "/>
    <s v=" "/>
    <s v=" "/>
    <s v=" "/>
    <m/>
  </r>
  <r>
    <x v="1"/>
    <n v="327543"/>
    <s v=" "/>
    <n v="307126.34999999998"/>
    <x v="1"/>
    <x v="33"/>
    <d v="2025-11-30T00:00:00"/>
    <s v=" "/>
    <s v=" "/>
    <n v="7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6"/>
    <s v=" "/>
    <n v="9119.2900000000009"/>
    <x v="1"/>
    <x v="33"/>
    <d v="2025-11-30T00:00:00"/>
    <s v=" "/>
    <s v=" "/>
    <n v="8"/>
    <s v="Interfaz Deuda JDE"/>
    <s v=" "/>
    <m/>
    <m/>
    <s v=" "/>
    <x v="5"/>
    <s v="AA"/>
    <s v="A"/>
    <s v="00007737"/>
    <s v="00598"/>
    <s v="00533"/>
    <n v="1944733"/>
    <s v="G"/>
    <s v=" "/>
    <s v=" "/>
    <s v=" "/>
    <s v=" "/>
    <m/>
  </r>
  <r>
    <x v="1"/>
    <n v="439097"/>
    <s v=" "/>
    <n v="185437.21"/>
    <x v="1"/>
    <x v="34"/>
    <d v="2025-11-30T00:00:00"/>
    <s v=" "/>
    <s v=" "/>
    <n v="5"/>
    <s v="Interfaz Deuda JDE"/>
    <s v=" "/>
    <m/>
    <m/>
    <s v=" "/>
    <x v="3"/>
    <s v="AA"/>
    <s v="A"/>
    <s v="00007699"/>
    <s v="00598"/>
    <s v="00533"/>
    <n v="1944733"/>
    <s v="G"/>
    <s v=" "/>
    <s v=" "/>
    <s v=" "/>
    <s v=" "/>
    <m/>
  </r>
  <r>
    <x v="2"/>
    <n v="438068"/>
    <s v=" "/>
    <n v="115948.22"/>
    <x v="1"/>
    <x v="34"/>
    <d v="2025-11-30T00:00:00"/>
    <s v=" "/>
    <s v=" "/>
    <n v="6"/>
    <s v="Interfaz Deuda JDE"/>
    <s v=" "/>
    <m/>
    <m/>
    <s v=" "/>
    <x v="4"/>
    <s v="AA"/>
    <s v="A"/>
    <s v="00007699"/>
    <s v="00598"/>
    <s v="00533"/>
    <n v="1944733"/>
    <s v="G"/>
    <s v=" "/>
    <s v=" "/>
    <s v=" "/>
    <s v=" "/>
    <m/>
  </r>
  <r>
    <x v="1"/>
    <n v="327543"/>
    <s v=" "/>
    <n v="1309176.47"/>
    <x v="1"/>
    <x v="34"/>
    <d v="2025-11-30T00:00:00"/>
    <s v=" "/>
    <s v=" "/>
    <n v="7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439096"/>
    <s v=" "/>
    <n v="35792.449999999997"/>
    <x v="1"/>
    <x v="34"/>
    <d v="2025-11-30T00:00:00"/>
    <s v=" "/>
    <s v=" "/>
    <n v="8"/>
    <s v="Interfaz Deuda JDE"/>
    <s v=" "/>
    <m/>
    <m/>
    <s v=" "/>
    <x v="5"/>
    <s v="AA"/>
    <s v="A"/>
    <s v="00007699"/>
    <s v="00598"/>
    <s v="00533"/>
    <n v="1944733"/>
    <s v="G"/>
    <s v=" "/>
    <s v=" "/>
    <s v=" "/>
    <s v=" "/>
    <m/>
  </r>
  <r>
    <x v="1"/>
    <n v="439097"/>
    <s v=" "/>
    <n v="-273097"/>
    <x v="1"/>
    <x v="35"/>
    <d v="2025-11-30T00:00:00"/>
    <s v=" "/>
    <s v=" "/>
    <n v="5"/>
    <s v="Interfaz Deuda JDE"/>
    <s v=" "/>
    <m/>
    <m/>
    <s v=" "/>
    <x v="3"/>
    <s v="AA"/>
    <s v="A"/>
    <s v="00007680"/>
    <s v="00598"/>
    <s v="00533"/>
    <n v="1944733"/>
    <s v="G"/>
    <s v=" "/>
    <s v=" "/>
    <s v=" "/>
    <s v=" "/>
    <m/>
  </r>
  <r>
    <x v="2"/>
    <n v="438068"/>
    <s v=" "/>
    <n v="-170759.21"/>
    <x v="1"/>
    <x v="35"/>
    <d v="2025-11-30T00:00:00"/>
    <s v=" "/>
    <s v=" "/>
    <n v="6"/>
    <s v="Interfaz Deuda JDE"/>
    <s v=" "/>
    <m/>
    <m/>
    <s v=" "/>
    <x v="4"/>
    <s v="AA"/>
    <s v="A"/>
    <s v="00007680"/>
    <s v="00598"/>
    <s v="00533"/>
    <n v="1944733"/>
    <s v="G"/>
    <s v=" "/>
    <s v=" "/>
    <s v=" "/>
    <s v=" "/>
    <m/>
  </r>
  <r>
    <x v="1"/>
    <n v="327543"/>
    <s v=" "/>
    <n v="-2144781.0699999998"/>
    <x v="1"/>
    <x v="35"/>
    <d v="2025-11-30T00:00:00"/>
    <s v=" "/>
    <s v=" "/>
    <n v="7"/>
    <s v="Interfaz Deuda JDE"/>
    <s v=" "/>
    <m/>
    <m/>
    <s v=" "/>
    <x v="2"/>
    <s v="AA"/>
    <s v="A"/>
    <s v="00007680"/>
    <s v="00598"/>
    <s v="00533"/>
    <n v="1944733"/>
    <s v="G"/>
    <s v=" "/>
    <s v=" "/>
    <s v=" "/>
    <s v=" "/>
    <m/>
  </r>
  <r>
    <x v="1"/>
    <n v="439096"/>
    <s v=" "/>
    <n v="-52712.23"/>
    <x v="1"/>
    <x v="35"/>
    <d v="2025-11-30T00:00:00"/>
    <s v=" "/>
    <s v=" "/>
    <n v="8"/>
    <s v="Interfaz Deuda JDE"/>
    <s v=" "/>
    <m/>
    <m/>
    <s v=" "/>
    <x v="5"/>
    <s v="AA"/>
    <s v="A"/>
    <s v="00007680"/>
    <s v="00598"/>
    <s v="00533"/>
    <n v="1944733"/>
    <s v="G"/>
    <s v=" "/>
    <s v=" "/>
    <s v=" "/>
    <s v=" "/>
    <m/>
  </r>
  <r>
    <x v="1"/>
    <n v="439097"/>
    <s v=" "/>
    <n v="372831.63"/>
    <x v="1"/>
    <x v="36"/>
    <d v="2025-11-30T00:00:00"/>
    <s v=" "/>
    <s v=" "/>
    <n v="5"/>
    <s v="Interfaz Deuda JDE"/>
    <s v=" "/>
    <m/>
    <m/>
    <s v=" "/>
    <x v="3"/>
    <s v="AA"/>
    <s v="A"/>
    <s v="00007699"/>
    <s v="00598"/>
    <s v="00533"/>
    <n v="1944733"/>
    <s v="G"/>
    <s v=" "/>
    <s v=" "/>
    <s v=" "/>
    <s v=" "/>
    <m/>
  </r>
  <r>
    <x v="2"/>
    <n v="438068"/>
    <s v=" "/>
    <n v="233120.22"/>
    <x v="1"/>
    <x v="36"/>
    <d v="2025-11-30T00:00:00"/>
    <s v=" "/>
    <s v=" "/>
    <n v="6"/>
    <s v="Interfaz Deuda JDE"/>
    <s v=" "/>
    <m/>
    <m/>
    <s v=" "/>
    <x v="4"/>
    <s v="AA"/>
    <s v="A"/>
    <s v="00007699"/>
    <s v="00598"/>
    <s v="00533"/>
    <n v="1944733"/>
    <s v="G"/>
    <s v=" "/>
    <s v=" "/>
    <s v=" "/>
    <s v=" "/>
    <m/>
  </r>
  <r>
    <x v="1"/>
    <n v="327543"/>
    <s v=" "/>
    <n v="2584707.37"/>
    <x v="1"/>
    <x v="36"/>
    <d v="2025-11-30T00:00:00"/>
    <s v=" "/>
    <s v=" "/>
    <n v="7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439096"/>
    <s v=" "/>
    <n v="71962.66"/>
    <x v="1"/>
    <x v="36"/>
    <d v="2025-11-30T00:00:00"/>
    <s v=" "/>
    <s v=" "/>
    <n v="8"/>
    <s v="Interfaz Deuda JDE"/>
    <s v=" "/>
    <m/>
    <m/>
    <s v=" "/>
    <x v="5"/>
    <s v="AA"/>
    <s v="A"/>
    <s v="00007699"/>
    <s v="00598"/>
    <s v="00533"/>
    <n v="1944733"/>
    <s v="G"/>
    <s v=" "/>
    <s v=" "/>
    <s v=" "/>
    <s v=" "/>
    <m/>
  </r>
  <r>
    <x v="1"/>
    <n v="439097"/>
    <s v=" "/>
    <n v="118650.1"/>
    <x v="1"/>
    <x v="37"/>
    <d v="2025-11-30T00:00:00"/>
    <s v=" "/>
    <s v=" "/>
    <n v="5"/>
    <s v="Interfaz Deuda JDE"/>
    <s v=" "/>
    <m/>
    <m/>
    <s v=" "/>
    <x v="3"/>
    <s v="AA"/>
    <s v="A"/>
    <s v="00007846"/>
    <s v="00598"/>
    <s v="00533"/>
    <n v="1944733"/>
    <s v="G"/>
    <s v=" "/>
    <s v=" "/>
    <s v=" "/>
    <s v=" "/>
    <m/>
  </r>
  <r>
    <x v="2"/>
    <n v="438068"/>
    <s v=" "/>
    <n v="74188.28"/>
    <x v="1"/>
    <x v="37"/>
    <d v="2025-11-30T00:00:00"/>
    <s v=" "/>
    <s v=" "/>
    <n v="6"/>
    <s v="Interfaz Deuda JDE"/>
    <s v=" "/>
    <m/>
    <m/>
    <s v=" "/>
    <x v="4"/>
    <s v="AA"/>
    <s v="A"/>
    <s v="00007846"/>
    <s v="00598"/>
    <s v="00533"/>
    <n v="1944733"/>
    <s v="G"/>
    <s v=" "/>
    <s v=" "/>
    <s v=" "/>
    <s v=" "/>
    <m/>
  </r>
  <r>
    <x v="1"/>
    <n v="327543"/>
    <s v=" "/>
    <n v="763461.08"/>
    <x v="1"/>
    <x v="37"/>
    <d v="2025-11-30T00:00:00"/>
    <s v=" "/>
    <s v=" "/>
    <n v="7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6"/>
    <s v=" "/>
    <n v="22901.43"/>
    <x v="1"/>
    <x v="37"/>
    <d v="2025-11-30T00:00:00"/>
    <s v=" "/>
    <s v=" "/>
    <n v="8"/>
    <s v="Interfaz Deuda JDE"/>
    <s v=" "/>
    <m/>
    <m/>
    <s v=" "/>
    <x v="5"/>
    <s v="AA"/>
    <s v="A"/>
    <s v="00007846"/>
    <s v="00598"/>
    <s v="00533"/>
    <n v="1944733"/>
    <s v="G"/>
    <s v=" "/>
    <s v=" "/>
    <s v=" "/>
    <s v=" "/>
    <m/>
  </r>
  <r>
    <x v="1"/>
    <n v="439097"/>
    <s v=" "/>
    <n v="41871.17"/>
    <x v="1"/>
    <x v="38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26180.76"/>
    <x v="1"/>
    <x v="38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261371.68"/>
    <x v="1"/>
    <x v="38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8081.83"/>
    <x v="1"/>
    <x v="38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-7257.54"/>
    <x v="1"/>
    <x v="39"/>
    <d v="2025-11-30T00:00:00"/>
    <s v=" "/>
    <s v=" "/>
    <n v="5"/>
    <s v="Interfaz Deuda JDE"/>
    <s v=" "/>
    <m/>
    <m/>
    <s v=" "/>
    <x v="3"/>
    <s v="AA"/>
    <s v="A"/>
    <s v="00034543"/>
    <s v="00598"/>
    <s v="00533"/>
    <n v="1944733"/>
    <s v="G"/>
    <s v=" "/>
    <s v=" "/>
    <s v=" "/>
    <s v=" "/>
    <m/>
  </r>
  <r>
    <x v="2"/>
    <n v="438068"/>
    <s v=" "/>
    <n v="-4537.92"/>
    <x v="1"/>
    <x v="39"/>
    <d v="2025-11-30T00:00:00"/>
    <s v=" "/>
    <s v=" "/>
    <n v="6"/>
    <s v="Interfaz Deuda JDE"/>
    <s v=" "/>
    <m/>
    <m/>
    <s v=" "/>
    <x v="4"/>
    <s v="AA"/>
    <s v="A"/>
    <s v="00034543"/>
    <s v="00598"/>
    <s v="00533"/>
    <n v="1944733"/>
    <s v="G"/>
    <s v=" "/>
    <s v=" "/>
    <s v=" "/>
    <s v=" "/>
    <m/>
  </r>
  <r>
    <x v="1"/>
    <n v="327543"/>
    <s v=" "/>
    <n v="-46408.49"/>
    <x v="1"/>
    <x v="39"/>
    <d v="2025-11-30T00:00:00"/>
    <s v=" "/>
    <s v=" "/>
    <n v="7"/>
    <s v="Interfaz Deuda JDE"/>
    <s v=" "/>
    <m/>
    <m/>
    <s v=" "/>
    <x v="2"/>
    <s v="AA"/>
    <s v="A"/>
    <s v="00034543"/>
    <s v="00598"/>
    <s v="00533"/>
    <n v="1944733"/>
    <s v="G"/>
    <s v=" "/>
    <s v=" "/>
    <s v=" "/>
    <s v=" "/>
    <m/>
  </r>
  <r>
    <x v="1"/>
    <n v="439096"/>
    <s v=" "/>
    <n v="-1400.83"/>
    <x v="1"/>
    <x v="39"/>
    <d v="2025-11-30T00:00:00"/>
    <s v=" "/>
    <s v=" "/>
    <n v="8"/>
    <s v="Interfaz Deuda JDE"/>
    <s v=" "/>
    <m/>
    <m/>
    <s v=" "/>
    <x v="5"/>
    <s v="AA"/>
    <s v="A"/>
    <s v="00034543"/>
    <s v="00598"/>
    <s v="00533"/>
    <n v="1944733"/>
    <s v="G"/>
    <s v=" "/>
    <s v=" "/>
    <s v=" "/>
    <s v=" "/>
    <m/>
  </r>
  <r>
    <x v="1"/>
    <n v="439097"/>
    <s v=" "/>
    <n v="-580699.84"/>
    <x v="1"/>
    <x v="40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-363093.87"/>
    <x v="1"/>
    <x v="40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-3835258.05"/>
    <x v="1"/>
    <x v="40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-112084.67"/>
    <x v="1"/>
    <x v="40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399327.06"/>
    <x v="1"/>
    <x v="41"/>
    <d v="2025-11-30T00:00:00"/>
    <s v=" "/>
    <s v=" "/>
    <n v="5"/>
    <s v="Interfaz Deuda JDE"/>
    <s v=" "/>
    <m/>
    <m/>
    <s v=" "/>
    <x v="3"/>
    <s v="AA"/>
    <s v="A"/>
    <s v="00030731"/>
    <s v="00598"/>
    <s v="00533"/>
    <n v="1944733"/>
    <s v="G"/>
    <s v=" "/>
    <s v=" "/>
    <s v=" "/>
    <s v=" "/>
    <m/>
  </r>
  <r>
    <x v="2"/>
    <n v="438068"/>
    <s v=" "/>
    <n v="249687.01"/>
    <x v="1"/>
    <x v="41"/>
    <d v="2025-11-30T00:00:00"/>
    <s v=" "/>
    <s v=" "/>
    <n v="6"/>
    <s v="Interfaz Deuda JDE"/>
    <s v=" "/>
    <m/>
    <m/>
    <s v=" "/>
    <x v="4"/>
    <s v="AA"/>
    <s v="A"/>
    <s v="00030731"/>
    <s v="00598"/>
    <s v="00533"/>
    <n v="1944733"/>
    <s v="G"/>
    <s v=" "/>
    <s v=" "/>
    <s v=" "/>
    <s v=" "/>
    <m/>
  </r>
  <r>
    <x v="1"/>
    <n v="327543"/>
    <s v=" "/>
    <n v="2555408.73"/>
    <x v="1"/>
    <x v="41"/>
    <d v="2025-11-30T00:00:00"/>
    <s v=" "/>
    <s v=" "/>
    <n v="7"/>
    <s v="Interfaz Deuda JDE"/>
    <s v=" "/>
    <m/>
    <m/>
    <s v=" "/>
    <x v="2"/>
    <s v="AA"/>
    <s v="A"/>
    <s v="00030731"/>
    <s v="00598"/>
    <s v="00533"/>
    <n v="1944733"/>
    <s v="G"/>
    <s v=" "/>
    <s v=" "/>
    <s v=" "/>
    <s v=" "/>
    <m/>
  </r>
  <r>
    <x v="1"/>
    <n v="439096"/>
    <s v=" "/>
    <n v="77076.72"/>
    <x v="1"/>
    <x v="41"/>
    <d v="2025-11-30T00:00:00"/>
    <s v=" "/>
    <s v=" "/>
    <n v="8"/>
    <s v="Interfaz Deuda JDE"/>
    <s v=" "/>
    <m/>
    <m/>
    <s v=" "/>
    <x v="5"/>
    <s v="AA"/>
    <s v="A"/>
    <s v="00030731"/>
    <s v="00598"/>
    <s v="00533"/>
    <n v="1944733"/>
    <s v="G"/>
    <s v=" "/>
    <s v=" "/>
    <s v=" "/>
    <s v=" "/>
    <m/>
  </r>
  <r>
    <x v="1"/>
    <n v="439097"/>
    <s v=" "/>
    <n v="101114.04"/>
    <x v="1"/>
    <x v="42"/>
    <d v="2025-11-30T00:00:00"/>
    <s v=" "/>
    <s v=" "/>
    <n v="7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0"/>
    <n v="456149"/>
    <s v=" "/>
    <n v="309453.13"/>
    <x v="1"/>
    <x v="42"/>
    <d v="2025-11-30T00:00:00"/>
    <s v=" "/>
    <s v=" "/>
    <n v="8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63223.519999999997"/>
    <x v="1"/>
    <x v="42"/>
    <d v="2025-11-30T00:00:00"/>
    <s v=" "/>
    <s v=" "/>
    <n v="9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673778.01"/>
    <x v="1"/>
    <x v="42"/>
    <d v="2025-11-30T00:00:00"/>
    <s v=" "/>
    <s v=" "/>
    <n v="10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9516.68"/>
    <x v="1"/>
    <x v="42"/>
    <d v="2025-11-30T00:00:00"/>
    <s v=" "/>
    <s v=" "/>
    <n v="11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40074.14"/>
    <x v="1"/>
    <x v="42"/>
    <d v="2025-11-30T00:00:00"/>
    <s v=" "/>
    <s v=" "/>
    <n v="12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169011.88"/>
    <x v="1"/>
    <x v="43"/>
    <d v="2025-11-30T00:00:00"/>
    <s v=" "/>
    <s v=" "/>
    <n v="7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0"/>
    <n v="456149"/>
    <s v=" "/>
    <n v="517250.17"/>
    <x v="1"/>
    <x v="43"/>
    <d v="2025-11-30T00:00:00"/>
    <s v=" "/>
    <s v=" "/>
    <n v="8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105677.96"/>
    <x v="1"/>
    <x v="43"/>
    <d v="2025-11-30T00:00:00"/>
    <s v=" "/>
    <s v=" "/>
    <n v="9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1125397.25"/>
    <x v="1"/>
    <x v="43"/>
    <d v="2025-11-30T00:00:00"/>
    <s v=" "/>
    <s v=" "/>
    <n v="10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32622.09"/>
    <x v="1"/>
    <x v="43"/>
    <d v="2025-11-30T00:00:00"/>
    <s v=" "/>
    <s v=" "/>
    <n v="11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66983.83"/>
    <x v="1"/>
    <x v="43"/>
    <d v="2025-11-30T00:00:00"/>
    <s v=" "/>
    <s v=" "/>
    <n v="12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46089.39"/>
    <x v="1"/>
    <x v="44"/>
    <d v="2025-11-30T00:00:00"/>
    <s v=" "/>
    <s v=" "/>
    <n v="8"/>
    <s v="Interfaz Deuda JDE"/>
    <s v=" "/>
    <m/>
    <m/>
    <s v=" "/>
    <x v="3"/>
    <s v="AA"/>
    <s v="A"/>
    <s v="00034543"/>
    <s v="00598"/>
    <s v="00533"/>
    <n v="1944733"/>
    <s v="G"/>
    <s v=" "/>
    <s v=" "/>
    <s v=" "/>
    <s v=" "/>
    <m/>
  </r>
  <r>
    <x v="2"/>
    <n v="459382"/>
    <s v=" "/>
    <n v="87261.51"/>
    <x v="1"/>
    <x v="44"/>
    <d v="2025-11-30T00:00:00"/>
    <s v=" "/>
    <s v=" "/>
    <n v="9"/>
    <s v="Interfaz Deuda JDE"/>
    <s v=" "/>
    <m/>
    <m/>
    <s v=" "/>
    <x v="8"/>
    <s v="AA"/>
    <s v="A"/>
    <s v="00034543"/>
    <s v="00598"/>
    <s v="00533"/>
    <n v="1944733"/>
    <s v="G"/>
    <s v=" "/>
    <s v=" "/>
    <s v=" "/>
    <s v=" "/>
    <m/>
  </r>
  <r>
    <x v="0"/>
    <n v="456149"/>
    <s v=" "/>
    <n v="141053.65"/>
    <x v="1"/>
    <x v="44"/>
    <d v="2025-11-30T00:00:00"/>
    <s v=" "/>
    <s v=" "/>
    <n v="10"/>
    <s v="Interfaz Deuda JDE"/>
    <s v=" "/>
    <m/>
    <m/>
    <s v=" "/>
    <x v="6"/>
    <s v="AA"/>
    <s v="A"/>
    <s v="00034543"/>
    <s v="00598"/>
    <s v="00533"/>
    <n v="1944733"/>
    <s v="G"/>
    <s v=" "/>
    <s v=" "/>
    <s v=" "/>
    <s v=" "/>
    <m/>
  </r>
  <r>
    <x v="2"/>
    <n v="438068"/>
    <s v=" "/>
    <n v="28818.28"/>
    <x v="1"/>
    <x v="44"/>
    <d v="2025-11-30T00:00:00"/>
    <s v=" "/>
    <s v=" "/>
    <n v="11"/>
    <s v="Interfaz Deuda JDE"/>
    <s v=" "/>
    <m/>
    <m/>
    <s v=" "/>
    <x v="4"/>
    <s v="AA"/>
    <s v="A"/>
    <s v="00034543"/>
    <s v="00598"/>
    <s v="00533"/>
    <n v="1944733"/>
    <s v="G"/>
    <s v=" "/>
    <s v=" "/>
    <s v=" "/>
    <s v=" "/>
    <m/>
  </r>
  <r>
    <x v="1"/>
    <n v="327543"/>
    <s v=" "/>
    <n v="272343.86"/>
    <x v="1"/>
    <x v="44"/>
    <d v="2025-11-30T00:00:00"/>
    <s v=" "/>
    <s v=" "/>
    <n v="12"/>
    <s v="Interfaz Deuda JDE"/>
    <s v=" "/>
    <m/>
    <m/>
    <s v=" "/>
    <x v="2"/>
    <s v="AA"/>
    <s v="A"/>
    <s v="00034543"/>
    <s v="00598"/>
    <s v="00533"/>
    <n v="1944733"/>
    <s v="G"/>
    <s v=" "/>
    <s v=" "/>
    <s v=" "/>
    <s v=" "/>
    <m/>
  </r>
  <r>
    <x v="1"/>
    <n v="439096"/>
    <s v=" "/>
    <n v="8896.01"/>
    <x v="1"/>
    <x v="44"/>
    <d v="2025-11-30T00:00:00"/>
    <s v=" "/>
    <s v=" "/>
    <n v="13"/>
    <s v="Interfaz Deuda JDE"/>
    <s v=" "/>
    <m/>
    <m/>
    <s v=" "/>
    <x v="5"/>
    <s v="AA"/>
    <s v="A"/>
    <s v="00034543"/>
    <s v="00598"/>
    <s v="00533"/>
    <n v="1944733"/>
    <s v="G"/>
    <s v=" "/>
    <s v=" "/>
    <s v=" "/>
    <s v=" "/>
    <m/>
  </r>
  <r>
    <x v="0"/>
    <n v="457691"/>
    <s v=" "/>
    <n v="18266.43"/>
    <x v="1"/>
    <x v="44"/>
    <d v="2025-11-30T00:00:00"/>
    <s v=" "/>
    <s v=" "/>
    <n v="14"/>
    <s v="Interfaz Deuda JDE"/>
    <s v=" "/>
    <m/>
    <m/>
    <s v=" "/>
    <x v="7"/>
    <s v="AA"/>
    <s v="A"/>
    <s v="00034543"/>
    <s v="00598"/>
    <s v="00533"/>
    <n v="1944733"/>
    <s v="G"/>
    <s v=" "/>
    <s v=" "/>
    <s v=" "/>
    <s v=" "/>
    <m/>
  </r>
  <r>
    <x v="1"/>
    <n v="439097"/>
    <s v=" "/>
    <n v="45660.85"/>
    <x v="1"/>
    <x v="45"/>
    <d v="2025-11-30T00:00:00"/>
    <s v=" "/>
    <s v=" "/>
    <n v="8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59382"/>
    <s v=" "/>
    <n v="86450.15"/>
    <x v="1"/>
    <x v="45"/>
    <d v="2025-11-30T00:00:00"/>
    <s v=" "/>
    <s v=" "/>
    <n v="9"/>
    <s v="Interfaz Deuda JDE"/>
    <s v=" "/>
    <m/>
    <m/>
    <s v=" "/>
    <x v="8"/>
    <s v="AA"/>
    <s v="A"/>
    <s v="00007681"/>
    <s v="00598"/>
    <s v="00533"/>
    <n v="1944733"/>
    <s v="G"/>
    <s v=" "/>
    <s v=" "/>
    <s v=" "/>
    <s v=" "/>
    <m/>
  </r>
  <r>
    <x v="0"/>
    <n v="456149"/>
    <s v=" "/>
    <n v="139742.13"/>
    <x v="1"/>
    <x v="45"/>
    <d v="2025-11-30T00:00:00"/>
    <s v=" "/>
    <s v=" "/>
    <n v="10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28550.33"/>
    <x v="1"/>
    <x v="45"/>
    <d v="2025-11-30T00:00:00"/>
    <s v=" "/>
    <s v=" "/>
    <n v="11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272019.21999999997"/>
    <x v="1"/>
    <x v="45"/>
    <d v="2025-11-30T00:00:00"/>
    <s v=" "/>
    <s v=" "/>
    <n v="12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8813.2999999999993"/>
    <x v="1"/>
    <x v="45"/>
    <d v="2025-11-30T00:00:00"/>
    <s v=" "/>
    <s v=" "/>
    <n v="13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18096.59"/>
    <x v="1"/>
    <x v="45"/>
    <d v="2025-11-30T00:00:00"/>
    <s v=" "/>
    <s v=" "/>
    <n v="14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81760.58"/>
    <x v="1"/>
    <x v="46"/>
    <d v="2025-11-30T00:00:00"/>
    <s v=" "/>
    <s v=" "/>
    <n v="8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59382"/>
    <s v=" "/>
    <n v="154798.14000000001"/>
    <x v="1"/>
    <x v="46"/>
    <d v="2025-11-30T00:00:00"/>
    <s v=" "/>
    <s v=" "/>
    <n v="9"/>
    <s v="Interfaz Deuda JDE"/>
    <s v=" "/>
    <m/>
    <m/>
    <s v=" "/>
    <x v="8"/>
    <s v="AA"/>
    <s v="A"/>
    <s v="00007681"/>
    <s v="00598"/>
    <s v="00533"/>
    <n v="1944733"/>
    <s v="G"/>
    <s v=" "/>
    <s v=" "/>
    <s v=" "/>
    <s v=" "/>
    <m/>
  </r>
  <r>
    <x v="0"/>
    <n v="456149"/>
    <s v=" "/>
    <n v="250223.08"/>
    <x v="1"/>
    <x v="46"/>
    <d v="2025-11-30T00:00:00"/>
    <s v=" "/>
    <s v=" "/>
    <n v="10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51122.39"/>
    <x v="1"/>
    <x v="46"/>
    <d v="2025-11-30T00:00:00"/>
    <s v=" "/>
    <s v=" "/>
    <n v="11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487215.17"/>
    <x v="1"/>
    <x v="46"/>
    <d v="2025-11-30T00:00:00"/>
    <s v=" "/>
    <s v=" "/>
    <n v="12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5781.14"/>
    <x v="1"/>
    <x v="46"/>
    <d v="2025-11-30T00:00:00"/>
    <s v=" "/>
    <s v=" "/>
    <n v="13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32403.85"/>
    <x v="1"/>
    <x v="46"/>
    <d v="2025-11-30T00:00:00"/>
    <s v=" "/>
    <s v=" "/>
    <n v="14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-189084.85"/>
    <x v="1"/>
    <x v="47"/>
    <d v="2025-11-30T00:00:00"/>
    <s v=" "/>
    <s v=" "/>
    <n v="8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59382"/>
    <s v=" "/>
    <n v="-357996.29"/>
    <x v="1"/>
    <x v="47"/>
    <d v="2025-11-30T00:00:00"/>
    <s v=" "/>
    <s v=" "/>
    <n v="9"/>
    <s v="Interfaz Deuda JDE"/>
    <s v=" "/>
    <m/>
    <m/>
    <s v=" "/>
    <x v="8"/>
    <s v="AA"/>
    <s v="A"/>
    <s v="00007681"/>
    <s v="00598"/>
    <s v="00533"/>
    <n v="1944733"/>
    <s v="G"/>
    <s v=" "/>
    <s v=" "/>
    <s v=" "/>
    <s v=" "/>
    <m/>
  </r>
  <r>
    <x v="0"/>
    <n v="456149"/>
    <s v=" "/>
    <n v="-578682.22"/>
    <x v="1"/>
    <x v="47"/>
    <d v="2025-11-30T00:00:00"/>
    <s v=" "/>
    <s v=" "/>
    <n v="10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-118228.98"/>
    <x v="1"/>
    <x v="47"/>
    <d v="2025-11-30T00:00:00"/>
    <s v=" "/>
    <s v=" "/>
    <n v="11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-151566.41"/>
    <x v="1"/>
    <x v="47"/>
    <d v="2025-11-30T00:00:00"/>
    <s v=" "/>
    <s v=" "/>
    <n v="12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-36496.5"/>
    <x v="1"/>
    <x v="47"/>
    <d v="2025-11-30T00:00:00"/>
    <s v=" "/>
    <s v=" "/>
    <n v="13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-74939.27"/>
    <x v="1"/>
    <x v="47"/>
    <d v="2025-11-30T00:00:00"/>
    <s v=" "/>
    <s v=" "/>
    <n v="14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327543"/>
    <s v=" "/>
    <n v="10077643.529999999"/>
    <x v="1"/>
    <x v="48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2484019.4900000002"/>
    <x v="1"/>
    <x v="49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955805.27"/>
    <x v="1"/>
    <x v="50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3035328.93"/>
    <x v="1"/>
    <x v="51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4462087.41"/>
    <x v="1"/>
    <x v="52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942335.6"/>
    <x v="1"/>
    <x v="53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814886.33"/>
    <x v="1"/>
    <x v="54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942958.16"/>
    <x v="1"/>
    <x v="55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647493.99"/>
    <x v="1"/>
    <x v="56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3497055.7"/>
    <x v="1"/>
    <x v="57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3408903.02"/>
    <x v="1"/>
    <x v="58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121935.56"/>
    <x v="1"/>
    <x v="59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2813918.17"/>
    <x v="1"/>
    <x v="60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7535855.0700000003"/>
    <x v="1"/>
    <x v="61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13803193.27"/>
    <x v="1"/>
    <x v="62"/>
    <d v="2025-11-30T00:00:00"/>
    <s v=" "/>
    <s v=" "/>
    <n v="2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327543"/>
    <s v=" "/>
    <n v="30388485.690000001"/>
    <x v="1"/>
    <x v="63"/>
    <d v="2025-11-30T00:00:00"/>
    <s v=" "/>
    <s v=" "/>
    <n v="2"/>
    <s v="Interfaz Deuda JDE"/>
    <s v=" "/>
    <m/>
    <m/>
    <s v=" "/>
    <x v="2"/>
    <s v="AA"/>
    <s v="A"/>
    <s v="00007680"/>
    <s v="00598"/>
    <s v="00533"/>
    <n v="1944733"/>
    <s v="G"/>
    <s v=" "/>
    <s v=" "/>
    <s v=" "/>
    <s v=" "/>
    <m/>
  </r>
  <r>
    <x v="1"/>
    <n v="327543"/>
    <s v=" "/>
    <n v="12074504.560000001"/>
    <x v="1"/>
    <x v="64"/>
    <d v="2025-11-30T00:00:00"/>
    <s v=" "/>
    <s v=" "/>
    <n v="2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327543"/>
    <s v=" "/>
    <n v="3435775.22"/>
    <x v="1"/>
    <x v="65"/>
    <d v="2025-11-30T00:00:00"/>
    <s v=" "/>
    <s v=" "/>
    <n v="2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327543"/>
    <s v=" "/>
    <n v="12004615.07"/>
    <x v="1"/>
    <x v="66"/>
    <d v="2025-11-30T00:00:00"/>
    <s v=" "/>
    <s v=" "/>
    <n v="2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327543"/>
    <s v=" "/>
    <n v="6820389.5999999996"/>
    <x v="1"/>
    <x v="67"/>
    <d v="2025-11-30T00:00:00"/>
    <s v=" "/>
    <s v=" "/>
    <n v="2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7"/>
    <s v=" "/>
    <n v="385028.19"/>
    <x v="1"/>
    <x v="68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2301131.5699999998"/>
    <x v="1"/>
    <x v="68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957626.86"/>
    <x v="1"/>
    <x v="69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5845472.2400000002"/>
    <x v="1"/>
    <x v="69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1671022.55"/>
    <x v="1"/>
    <x v="70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10057894.85"/>
    <x v="1"/>
    <x v="70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2527753.54"/>
    <x v="1"/>
    <x v="71"/>
    <d v="2025-11-30T00:00:00"/>
    <s v=" "/>
    <s v=" "/>
    <n v="3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1"/>
    <n v="327543"/>
    <s v=" "/>
    <n v="15495908.51"/>
    <x v="1"/>
    <x v="71"/>
    <d v="2025-11-30T00:00:00"/>
    <s v=" "/>
    <s v=" "/>
    <n v="4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7"/>
    <s v=" "/>
    <n v="4643122.3600000003"/>
    <x v="1"/>
    <x v="72"/>
    <d v="2025-11-30T00:00:00"/>
    <s v=" "/>
    <s v=" "/>
    <n v="3"/>
    <s v="Interfaz Deuda JDE"/>
    <s v=" "/>
    <m/>
    <m/>
    <s v=" "/>
    <x v="3"/>
    <s v="AA"/>
    <s v="A"/>
    <s v="00007737"/>
    <s v="00598"/>
    <s v="00533"/>
    <n v="1944733"/>
    <s v="G"/>
    <s v=" "/>
    <s v=" "/>
    <s v=" "/>
    <s v=" "/>
    <m/>
  </r>
  <r>
    <x v="1"/>
    <n v="327543"/>
    <s v=" "/>
    <n v="30457801.379999999"/>
    <x v="1"/>
    <x v="72"/>
    <d v="2025-11-30T00:00:00"/>
    <s v=" "/>
    <s v=" "/>
    <n v="4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7"/>
    <s v=" "/>
    <n v="6755036.3200000003"/>
    <x v="1"/>
    <x v="73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4223717.78"/>
    <x v="1"/>
    <x v="73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48339818.07"/>
    <x v="1"/>
    <x v="73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303833.6299999999"/>
    <x v="1"/>
    <x v="73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6888910.5099999998"/>
    <x v="1"/>
    <x v="74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4307425.22"/>
    <x v="1"/>
    <x v="74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43008167.390000001"/>
    <x v="1"/>
    <x v="74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329673.56"/>
    <x v="1"/>
    <x v="74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7516046.54"/>
    <x v="1"/>
    <x v="75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4699554.22"/>
    <x v="1"/>
    <x v="75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47074742.030000001"/>
    <x v="1"/>
    <x v="75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450721.18"/>
    <x v="1"/>
    <x v="75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1864956.91"/>
    <x v="1"/>
    <x v="76"/>
    <d v="2025-11-30T00:00:00"/>
    <s v=" "/>
    <s v=" "/>
    <n v="5"/>
    <s v="Interfaz Deuda JDE"/>
    <s v=" "/>
    <m/>
    <m/>
    <s v=" "/>
    <x v="3"/>
    <s v="AA"/>
    <s v="A"/>
    <s v="00007846"/>
    <s v="00598"/>
    <s v="00533"/>
    <n v="1944733"/>
    <s v="G"/>
    <s v=" "/>
    <s v=" "/>
    <s v=" "/>
    <s v=" "/>
    <m/>
  </r>
  <r>
    <x v="2"/>
    <n v="438068"/>
    <s v=" "/>
    <n v="1166100.57"/>
    <x v="1"/>
    <x v="76"/>
    <d v="2025-11-30T00:00:00"/>
    <s v=" "/>
    <s v=" "/>
    <n v="6"/>
    <s v="Interfaz Deuda JDE"/>
    <s v=" "/>
    <m/>
    <m/>
    <s v=" "/>
    <x v="4"/>
    <s v="AA"/>
    <s v="A"/>
    <s v="00007846"/>
    <s v="00598"/>
    <s v="00533"/>
    <n v="1944733"/>
    <s v="G"/>
    <s v=" "/>
    <s v=" "/>
    <s v=" "/>
    <s v=" "/>
    <m/>
  </r>
  <r>
    <x v="1"/>
    <n v="327543"/>
    <s v=" "/>
    <n v="12144017.6"/>
    <x v="1"/>
    <x v="76"/>
    <d v="2025-11-30T00:00:00"/>
    <s v=" "/>
    <s v=" "/>
    <n v="7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6"/>
    <s v=" "/>
    <n v="359967.5"/>
    <x v="1"/>
    <x v="76"/>
    <d v="2025-11-30T00:00:00"/>
    <s v=" "/>
    <s v=" "/>
    <n v="8"/>
    <s v="Interfaz Deuda JDE"/>
    <s v=" "/>
    <m/>
    <m/>
    <s v=" "/>
    <x v="5"/>
    <s v="AA"/>
    <s v="A"/>
    <s v="00007846"/>
    <s v="00598"/>
    <s v="00533"/>
    <n v="1944733"/>
    <s v="G"/>
    <s v=" "/>
    <s v=" "/>
    <s v=" "/>
    <s v=" "/>
    <m/>
  </r>
  <r>
    <x v="1"/>
    <n v="439097"/>
    <s v=" "/>
    <n v="2760658.82"/>
    <x v="1"/>
    <x v="77"/>
    <d v="2025-11-30T00:00:00"/>
    <s v=" "/>
    <s v=" "/>
    <n v="5"/>
    <s v="Interfaz Deuda JDE"/>
    <s v=" "/>
    <m/>
    <m/>
    <s v=" "/>
    <x v="3"/>
    <s v="AA"/>
    <s v="A"/>
    <s v="00007846"/>
    <s v="00598"/>
    <s v="00533"/>
    <n v="1944733"/>
    <s v="G"/>
    <s v=" "/>
    <s v=" "/>
    <s v=" "/>
    <s v=" "/>
    <m/>
  </r>
  <r>
    <x v="2"/>
    <n v="438068"/>
    <s v=" "/>
    <n v="1726155.6"/>
    <x v="1"/>
    <x v="77"/>
    <d v="2025-11-30T00:00:00"/>
    <s v=" "/>
    <s v=" "/>
    <n v="6"/>
    <s v="Interfaz Deuda JDE"/>
    <s v=" "/>
    <m/>
    <m/>
    <s v=" "/>
    <x v="4"/>
    <s v="AA"/>
    <s v="A"/>
    <s v="00007846"/>
    <s v="00598"/>
    <s v="00533"/>
    <n v="1944733"/>
    <s v="G"/>
    <s v=" "/>
    <s v=" "/>
    <s v=" "/>
    <s v=" "/>
    <m/>
  </r>
  <r>
    <x v="1"/>
    <n v="327543"/>
    <s v=" "/>
    <n v="18004584.329999998"/>
    <x v="1"/>
    <x v="77"/>
    <d v="2025-11-30T00:00:00"/>
    <s v=" "/>
    <s v=" "/>
    <n v="7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6"/>
    <s v=" "/>
    <n v="532852.77"/>
    <x v="1"/>
    <x v="77"/>
    <d v="2025-11-30T00:00:00"/>
    <s v=" "/>
    <s v=" "/>
    <n v="8"/>
    <s v="Interfaz Deuda JDE"/>
    <s v=" "/>
    <m/>
    <m/>
    <s v=" "/>
    <x v="5"/>
    <s v="AA"/>
    <s v="A"/>
    <s v="00007846"/>
    <s v="00598"/>
    <s v="00533"/>
    <n v="1944733"/>
    <s v="G"/>
    <s v=" "/>
    <s v=" "/>
    <s v=" "/>
    <s v=" "/>
    <m/>
  </r>
  <r>
    <x v="1"/>
    <n v="439097"/>
    <s v=" "/>
    <n v="3757659.19"/>
    <x v="1"/>
    <x v="78"/>
    <d v="2025-11-30T00:00:00"/>
    <s v=" "/>
    <s v=" "/>
    <n v="5"/>
    <s v="Interfaz Deuda JDE"/>
    <s v=" "/>
    <m/>
    <m/>
    <s v=" "/>
    <x v="3"/>
    <s v="AA"/>
    <s v="A"/>
    <s v="00007737"/>
    <s v="00598"/>
    <s v="00533"/>
    <n v="1944733"/>
    <s v="G"/>
    <s v=" "/>
    <s v=" "/>
    <s v=" "/>
    <s v=" "/>
    <m/>
  </r>
  <r>
    <x v="2"/>
    <n v="438068"/>
    <s v=" "/>
    <n v="2349549.46"/>
    <x v="1"/>
    <x v="78"/>
    <d v="2025-11-30T00:00:00"/>
    <s v=" "/>
    <s v=" "/>
    <n v="6"/>
    <s v="Interfaz Deuda JDE"/>
    <s v=" "/>
    <m/>
    <m/>
    <s v=" "/>
    <x v="4"/>
    <s v="AA"/>
    <s v="A"/>
    <s v="00007737"/>
    <s v="00598"/>
    <s v="00533"/>
    <n v="1944733"/>
    <s v="G"/>
    <s v=" "/>
    <s v=" "/>
    <s v=" "/>
    <s v=" "/>
    <m/>
  </r>
  <r>
    <x v="1"/>
    <n v="327543"/>
    <s v=" "/>
    <n v="24427486.460000001"/>
    <x v="1"/>
    <x v="78"/>
    <d v="2025-11-30T00:00:00"/>
    <s v=" "/>
    <s v=" "/>
    <n v="7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6"/>
    <s v=" "/>
    <n v="725290.32"/>
    <x v="1"/>
    <x v="78"/>
    <d v="2025-11-30T00:00:00"/>
    <s v=" "/>
    <s v=" "/>
    <n v="8"/>
    <s v="Interfaz Deuda JDE"/>
    <s v=" "/>
    <m/>
    <m/>
    <s v=" "/>
    <x v="5"/>
    <s v="AA"/>
    <s v="A"/>
    <s v="00007737"/>
    <s v="00598"/>
    <s v="00533"/>
    <n v="1944733"/>
    <s v="G"/>
    <s v=" "/>
    <s v=" "/>
    <s v=" "/>
    <s v=" "/>
    <m/>
  </r>
  <r>
    <x v="1"/>
    <n v="327543"/>
    <s v=" "/>
    <n v="38245544.560000002"/>
    <x v="1"/>
    <x v="79"/>
    <d v="2025-11-30T00:00:00"/>
    <s v=" "/>
    <s v=" "/>
    <n v="2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7"/>
    <s v=" "/>
    <n v="10417532.619999999"/>
    <x v="1"/>
    <x v="80"/>
    <d v="2025-11-30T00:00:00"/>
    <s v=" "/>
    <s v=" "/>
    <n v="5"/>
    <s v="Interfaz Deuda JDE"/>
    <s v=" "/>
    <m/>
    <m/>
    <s v=" "/>
    <x v="3"/>
    <s v="AA"/>
    <s v="A"/>
    <s v="00007737"/>
    <s v="00598"/>
    <s v="00533"/>
    <n v="1944733"/>
    <s v="G"/>
    <s v=" "/>
    <s v=" "/>
    <s v=" "/>
    <s v=" "/>
    <m/>
  </r>
  <r>
    <x v="2"/>
    <n v="438068"/>
    <s v=" "/>
    <n v="6513764.7999999998"/>
    <x v="1"/>
    <x v="80"/>
    <d v="2025-11-30T00:00:00"/>
    <s v=" "/>
    <s v=" "/>
    <n v="6"/>
    <s v="Interfaz Deuda JDE"/>
    <s v=" "/>
    <m/>
    <m/>
    <s v=" "/>
    <x v="4"/>
    <s v="AA"/>
    <s v="A"/>
    <s v="00007737"/>
    <s v="00598"/>
    <s v="00533"/>
    <n v="1944733"/>
    <s v="G"/>
    <s v=" "/>
    <s v=" "/>
    <s v=" "/>
    <s v=" "/>
    <m/>
  </r>
  <r>
    <x v="1"/>
    <n v="327543"/>
    <s v=" "/>
    <n v="67719774.019999996"/>
    <x v="1"/>
    <x v="80"/>
    <d v="2025-11-30T00:00:00"/>
    <s v=" "/>
    <s v=" "/>
    <n v="7"/>
    <s v="Interfaz Deuda JDE"/>
    <s v=" "/>
    <m/>
    <m/>
    <s v=" "/>
    <x v="2"/>
    <s v="AA"/>
    <s v="A"/>
    <s v="00007737"/>
    <s v="00598"/>
    <s v="00533"/>
    <n v="1944733"/>
    <s v="G"/>
    <s v=" "/>
    <s v=" "/>
    <s v=" "/>
    <s v=" "/>
    <m/>
  </r>
  <r>
    <x v="1"/>
    <n v="439096"/>
    <s v=" "/>
    <n v="2010755.94"/>
    <x v="1"/>
    <x v="80"/>
    <d v="2025-11-30T00:00:00"/>
    <s v=" "/>
    <s v=" "/>
    <n v="8"/>
    <s v="Interfaz Deuda JDE"/>
    <s v=" "/>
    <m/>
    <m/>
    <s v=" "/>
    <x v="5"/>
    <s v="AA"/>
    <s v="A"/>
    <s v="00007737"/>
    <s v="00598"/>
    <s v="00533"/>
    <n v="1944733"/>
    <s v="G"/>
    <s v=" "/>
    <s v=" "/>
    <s v=" "/>
    <s v=" "/>
    <m/>
  </r>
  <r>
    <x v="1"/>
    <n v="439097"/>
    <s v=" "/>
    <n v="4470228.26"/>
    <x v="1"/>
    <x v="81"/>
    <d v="2025-11-30T00:00:00"/>
    <s v=" "/>
    <s v=" "/>
    <n v="5"/>
    <s v="Interfaz Deuda JDE"/>
    <s v=" "/>
    <m/>
    <m/>
    <s v=" "/>
    <x v="3"/>
    <s v="AA"/>
    <s v="A"/>
    <s v="00007699"/>
    <s v="00598"/>
    <s v="00533"/>
    <n v="1944733"/>
    <s v="G"/>
    <s v=" "/>
    <s v=" "/>
    <s v=" "/>
    <s v=" "/>
    <m/>
  </r>
  <r>
    <x v="2"/>
    <n v="438068"/>
    <s v=" "/>
    <n v="2795097.13"/>
    <x v="1"/>
    <x v="81"/>
    <d v="2025-11-30T00:00:00"/>
    <s v=" "/>
    <s v=" "/>
    <n v="6"/>
    <s v="Interfaz Deuda JDE"/>
    <s v=" "/>
    <m/>
    <m/>
    <s v=" "/>
    <x v="4"/>
    <s v="AA"/>
    <s v="A"/>
    <s v="00007699"/>
    <s v="00598"/>
    <s v="00533"/>
    <n v="1944733"/>
    <s v="G"/>
    <s v=" "/>
    <s v=" "/>
    <s v=" "/>
    <s v=" "/>
    <m/>
  </r>
  <r>
    <x v="1"/>
    <n v="327543"/>
    <s v=" "/>
    <n v="31559565"/>
    <x v="1"/>
    <x v="81"/>
    <d v="2025-11-30T00:00:00"/>
    <s v=" "/>
    <s v=" "/>
    <n v="7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439096"/>
    <s v=" "/>
    <n v="862827.92"/>
    <x v="1"/>
    <x v="81"/>
    <d v="2025-11-30T00:00:00"/>
    <s v=" "/>
    <s v=" "/>
    <n v="8"/>
    <s v="Interfaz Deuda JDE"/>
    <s v=" "/>
    <m/>
    <m/>
    <s v=" "/>
    <x v="5"/>
    <s v="AA"/>
    <s v="A"/>
    <s v="00007699"/>
    <s v="00598"/>
    <s v="00533"/>
    <n v="1944733"/>
    <s v="G"/>
    <s v=" "/>
    <s v=" "/>
    <s v=" "/>
    <s v=" "/>
    <m/>
  </r>
  <r>
    <x v="1"/>
    <n v="439097"/>
    <s v=" "/>
    <n v="4915710.47"/>
    <x v="1"/>
    <x v="82"/>
    <d v="2025-11-30T00:00:00"/>
    <s v=" "/>
    <s v=" "/>
    <n v="5"/>
    <s v="Interfaz Deuda JDE"/>
    <s v=" "/>
    <m/>
    <m/>
    <s v=" "/>
    <x v="3"/>
    <s v="AA"/>
    <s v="A"/>
    <s v="00007680"/>
    <s v="00598"/>
    <s v="00533"/>
    <n v="1944733"/>
    <s v="G"/>
    <s v=" "/>
    <s v=" "/>
    <s v=" "/>
    <s v=" "/>
    <m/>
  </r>
  <r>
    <x v="2"/>
    <n v="438068"/>
    <s v=" "/>
    <n v="3073643.54"/>
    <x v="1"/>
    <x v="82"/>
    <d v="2025-11-30T00:00:00"/>
    <s v=" "/>
    <s v=" "/>
    <n v="6"/>
    <s v="Interfaz Deuda JDE"/>
    <s v=" "/>
    <m/>
    <m/>
    <s v=" "/>
    <x v="4"/>
    <s v="AA"/>
    <s v="A"/>
    <s v="00007680"/>
    <s v="00598"/>
    <s v="00533"/>
    <n v="1944733"/>
    <s v="G"/>
    <s v=" "/>
    <s v=" "/>
    <s v=" "/>
    <s v=" "/>
    <m/>
  </r>
  <r>
    <x v="1"/>
    <n v="327543"/>
    <s v=" "/>
    <n v="38605780.780000001"/>
    <x v="1"/>
    <x v="82"/>
    <d v="2025-11-30T00:00:00"/>
    <s v=" "/>
    <s v=" "/>
    <n v="7"/>
    <s v="Interfaz Deuda JDE"/>
    <s v=" "/>
    <m/>
    <m/>
    <s v=" "/>
    <x v="2"/>
    <s v="AA"/>
    <s v="A"/>
    <s v="00007680"/>
    <s v="00598"/>
    <s v="00533"/>
    <n v="1944733"/>
    <s v="G"/>
    <s v=" "/>
    <s v=" "/>
    <s v=" "/>
    <s v=" "/>
    <m/>
  </r>
  <r>
    <x v="1"/>
    <n v="439096"/>
    <s v=" "/>
    <n v="948813.35"/>
    <x v="1"/>
    <x v="82"/>
    <d v="2025-11-30T00:00:00"/>
    <s v=" "/>
    <s v=" "/>
    <n v="8"/>
    <s v="Interfaz Deuda JDE"/>
    <s v=" "/>
    <m/>
    <m/>
    <s v=" "/>
    <x v="5"/>
    <s v="AA"/>
    <s v="A"/>
    <s v="00007680"/>
    <s v="00598"/>
    <s v="00533"/>
    <n v="1944733"/>
    <s v="G"/>
    <s v=" "/>
    <s v=" "/>
    <s v=" "/>
    <s v=" "/>
    <m/>
  </r>
  <r>
    <x v="1"/>
    <n v="439097"/>
    <s v=" "/>
    <n v="7236728.4100000001"/>
    <x v="1"/>
    <x v="83"/>
    <d v="2025-11-30T00:00:00"/>
    <s v=" "/>
    <s v=" "/>
    <n v="5"/>
    <s v="Interfaz Deuda JDE"/>
    <s v=" "/>
    <m/>
    <m/>
    <s v=" "/>
    <x v="3"/>
    <s v="AA"/>
    <s v="A"/>
    <s v="00007699"/>
    <s v="00598"/>
    <s v="00533"/>
    <n v="1944733"/>
    <s v="G"/>
    <s v=" "/>
    <s v=" "/>
    <s v=" "/>
    <s v=" "/>
    <m/>
  </r>
  <r>
    <x v="2"/>
    <n v="438068"/>
    <s v=" "/>
    <n v="4524905.13"/>
    <x v="1"/>
    <x v="83"/>
    <d v="2025-11-30T00:00:00"/>
    <s v=" "/>
    <s v=" "/>
    <n v="6"/>
    <s v="Interfaz Deuda JDE"/>
    <s v=" "/>
    <m/>
    <m/>
    <s v=" "/>
    <x v="4"/>
    <s v="AA"/>
    <s v="A"/>
    <s v="00007699"/>
    <s v="00598"/>
    <s v="00533"/>
    <n v="1944733"/>
    <s v="G"/>
    <s v=" "/>
    <s v=" "/>
    <s v=" "/>
    <s v=" "/>
    <m/>
  </r>
  <r>
    <x v="1"/>
    <n v="327543"/>
    <s v=" "/>
    <n v="50169631.420000002"/>
    <x v="1"/>
    <x v="83"/>
    <d v="2025-11-30T00:00:00"/>
    <s v=" "/>
    <s v=" "/>
    <n v="7"/>
    <s v="Interfaz Deuda JDE"/>
    <s v=" "/>
    <m/>
    <m/>
    <s v=" "/>
    <x v="2"/>
    <s v="AA"/>
    <s v="A"/>
    <s v="00007699"/>
    <s v="00598"/>
    <s v="00533"/>
    <n v="1944733"/>
    <s v="G"/>
    <s v=" "/>
    <s v=" "/>
    <s v=" "/>
    <s v=" "/>
    <m/>
  </r>
  <r>
    <x v="1"/>
    <n v="439096"/>
    <s v=" "/>
    <n v="1396808.17"/>
    <x v="1"/>
    <x v="83"/>
    <d v="2025-11-30T00:00:00"/>
    <s v=" "/>
    <s v=" "/>
    <n v="8"/>
    <s v="Interfaz Deuda JDE"/>
    <s v=" "/>
    <m/>
    <m/>
    <s v=" "/>
    <x v="5"/>
    <s v="AA"/>
    <s v="A"/>
    <s v="00007699"/>
    <s v="00598"/>
    <s v="00533"/>
    <n v="1944733"/>
    <s v="G"/>
    <s v=" "/>
    <s v=" "/>
    <s v=" "/>
    <s v=" "/>
    <m/>
  </r>
  <r>
    <x v="1"/>
    <n v="439097"/>
    <s v=" "/>
    <n v="4578928.47"/>
    <x v="1"/>
    <x v="84"/>
    <d v="2025-11-30T00:00:00"/>
    <s v=" "/>
    <s v=" "/>
    <n v="5"/>
    <s v="Interfaz Deuda JDE"/>
    <s v=" "/>
    <m/>
    <m/>
    <s v=" "/>
    <x v="3"/>
    <s v="AA"/>
    <s v="A"/>
    <s v="00007846"/>
    <s v="00598"/>
    <s v="00533"/>
    <n v="1944733"/>
    <s v="G"/>
    <s v=" "/>
    <s v=" "/>
    <s v=" "/>
    <s v=" "/>
    <m/>
  </r>
  <r>
    <x v="2"/>
    <n v="438068"/>
    <s v=" "/>
    <n v="2863064.04"/>
    <x v="1"/>
    <x v="84"/>
    <d v="2025-11-30T00:00:00"/>
    <s v=" "/>
    <s v=" "/>
    <n v="6"/>
    <s v="Interfaz Deuda JDE"/>
    <s v=" "/>
    <m/>
    <m/>
    <s v=" "/>
    <x v="4"/>
    <s v="AA"/>
    <s v="A"/>
    <s v="00007846"/>
    <s v="00598"/>
    <s v="00533"/>
    <n v="1944733"/>
    <s v="G"/>
    <s v=" "/>
    <s v=" "/>
    <s v=" "/>
    <s v=" "/>
    <m/>
  </r>
  <r>
    <x v="1"/>
    <n v="327543"/>
    <s v=" "/>
    <n v="29463386.329999998"/>
    <x v="1"/>
    <x v="84"/>
    <d v="2025-11-30T00:00:00"/>
    <s v=" "/>
    <s v=" "/>
    <n v="7"/>
    <s v="Interfaz Deuda JDE"/>
    <s v=" "/>
    <m/>
    <m/>
    <s v=" "/>
    <x v="2"/>
    <s v="AA"/>
    <s v="A"/>
    <s v="00007846"/>
    <s v="00598"/>
    <s v="00533"/>
    <n v="1944733"/>
    <s v="G"/>
    <s v=" "/>
    <s v=" "/>
    <s v=" "/>
    <s v=" "/>
    <m/>
  </r>
  <r>
    <x v="1"/>
    <n v="439096"/>
    <s v=" "/>
    <n v="883808.86"/>
    <x v="1"/>
    <x v="84"/>
    <d v="2025-11-30T00:00:00"/>
    <s v=" "/>
    <s v=" "/>
    <n v="8"/>
    <s v="Interfaz Deuda JDE"/>
    <s v=" "/>
    <m/>
    <m/>
    <s v=" "/>
    <x v="5"/>
    <s v="AA"/>
    <s v="A"/>
    <s v="00007846"/>
    <s v="00598"/>
    <s v="00533"/>
    <n v="1944733"/>
    <s v="G"/>
    <s v=" "/>
    <s v=" "/>
    <s v=" "/>
    <s v=" "/>
    <m/>
  </r>
  <r>
    <x v="1"/>
    <n v="439097"/>
    <s v=" "/>
    <n v="2853328.5"/>
    <x v="1"/>
    <x v="85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1784099.12"/>
    <x v="1"/>
    <x v="85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17811283.239999998"/>
    <x v="1"/>
    <x v="85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550739.55000000005"/>
    <x v="1"/>
    <x v="85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1930276.09"/>
    <x v="1"/>
    <x v="86"/>
    <d v="2025-11-30T00:00:00"/>
    <s v=" "/>
    <s v=" "/>
    <n v="5"/>
    <s v="Interfaz Deuda JDE"/>
    <s v=" "/>
    <m/>
    <m/>
    <s v=" "/>
    <x v="3"/>
    <s v="AA"/>
    <s v="A"/>
    <s v="00034543"/>
    <s v="00598"/>
    <s v="00533"/>
    <n v="1944733"/>
    <s v="G"/>
    <s v=" "/>
    <s v=" "/>
    <s v=" "/>
    <s v=" "/>
    <m/>
  </r>
  <r>
    <x v="2"/>
    <n v="438068"/>
    <s v=" "/>
    <n v="1206942.6499999999"/>
    <x v="1"/>
    <x v="86"/>
    <d v="2025-11-30T00:00:00"/>
    <s v=" "/>
    <s v=" "/>
    <n v="6"/>
    <s v="Interfaz Deuda JDE"/>
    <s v=" "/>
    <m/>
    <m/>
    <s v=" "/>
    <x v="4"/>
    <s v="AA"/>
    <s v="A"/>
    <s v="00034543"/>
    <s v="00598"/>
    <s v="00533"/>
    <n v="1944733"/>
    <s v="G"/>
    <s v=" "/>
    <s v=" "/>
    <s v=" "/>
    <s v=" "/>
    <m/>
  </r>
  <r>
    <x v="1"/>
    <n v="327543"/>
    <s v=" "/>
    <n v="12343186.09"/>
    <x v="1"/>
    <x v="86"/>
    <d v="2025-11-30T00:00:00"/>
    <s v=" "/>
    <s v=" "/>
    <n v="7"/>
    <s v="Interfaz Deuda JDE"/>
    <s v=" "/>
    <m/>
    <m/>
    <s v=" "/>
    <x v="2"/>
    <s v="AA"/>
    <s v="A"/>
    <s v="00034543"/>
    <s v="00598"/>
    <s v="00533"/>
    <n v="1944733"/>
    <s v="G"/>
    <s v=" "/>
    <s v=" "/>
    <s v=" "/>
    <s v=" "/>
    <m/>
  </r>
  <r>
    <x v="1"/>
    <n v="439096"/>
    <s v=" "/>
    <n v="372575.18"/>
    <x v="1"/>
    <x v="86"/>
    <d v="2025-11-30T00:00:00"/>
    <s v=" "/>
    <s v=" "/>
    <n v="8"/>
    <s v="Interfaz Deuda JDE"/>
    <s v=" "/>
    <m/>
    <m/>
    <s v=" "/>
    <x v="5"/>
    <s v="AA"/>
    <s v="A"/>
    <s v="00034543"/>
    <s v="00598"/>
    <s v="00533"/>
    <n v="1944733"/>
    <s v="G"/>
    <s v=" "/>
    <s v=" "/>
    <s v=" "/>
    <s v=" "/>
    <m/>
  </r>
  <r>
    <x v="1"/>
    <n v="439097"/>
    <s v=" "/>
    <n v="7240833.6500000004"/>
    <x v="1"/>
    <x v="87"/>
    <d v="2025-11-30T00:00:00"/>
    <s v=" "/>
    <s v=" "/>
    <n v="5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38068"/>
    <s v=" "/>
    <n v="4527472.01"/>
    <x v="1"/>
    <x v="87"/>
    <d v="2025-11-30T00:00:00"/>
    <s v=" "/>
    <s v=" "/>
    <n v="6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47822409.259999998"/>
    <x v="1"/>
    <x v="87"/>
    <d v="2025-11-30T00:00:00"/>
    <s v=" "/>
    <s v=" "/>
    <n v="7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397600.54"/>
    <x v="1"/>
    <x v="87"/>
    <d v="2025-11-30T00:00:00"/>
    <s v=" "/>
    <s v=" "/>
    <n v="8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1"/>
    <n v="439097"/>
    <s v=" "/>
    <n v="8125368.54"/>
    <x v="1"/>
    <x v="88"/>
    <d v="2025-11-30T00:00:00"/>
    <s v=" "/>
    <s v=" "/>
    <n v="5"/>
    <s v="Interfaz Deuda JDE"/>
    <s v=" "/>
    <m/>
    <m/>
    <s v=" "/>
    <x v="3"/>
    <s v="AA"/>
    <s v="A"/>
    <s v="00030731"/>
    <s v="00598"/>
    <s v="00533"/>
    <n v="1944733"/>
    <s v="G"/>
    <s v=" "/>
    <s v=" "/>
    <s v=" "/>
    <s v=" "/>
    <m/>
  </r>
  <r>
    <x v="2"/>
    <n v="438068"/>
    <s v=" "/>
    <n v="5080544.6399999997"/>
    <x v="1"/>
    <x v="88"/>
    <d v="2025-11-30T00:00:00"/>
    <s v=" "/>
    <s v=" "/>
    <n v="6"/>
    <s v="Interfaz Deuda JDE"/>
    <s v=" "/>
    <m/>
    <m/>
    <s v=" "/>
    <x v="4"/>
    <s v="AA"/>
    <s v="A"/>
    <s v="00030731"/>
    <s v="00598"/>
    <s v="00533"/>
    <n v="1944733"/>
    <s v="G"/>
    <s v=" "/>
    <s v=" "/>
    <s v=" "/>
    <s v=" "/>
    <m/>
  </r>
  <r>
    <x v="1"/>
    <n v="327543"/>
    <s v=" "/>
    <n v="51996570.43"/>
    <x v="1"/>
    <x v="88"/>
    <d v="2025-11-30T00:00:00"/>
    <s v=" "/>
    <s v=" "/>
    <n v="7"/>
    <s v="Interfaz Deuda JDE"/>
    <s v=" "/>
    <m/>
    <m/>
    <s v=" "/>
    <x v="2"/>
    <s v="AA"/>
    <s v="A"/>
    <s v="00030731"/>
    <s v="00598"/>
    <s v="00533"/>
    <n v="1944733"/>
    <s v="G"/>
    <s v=" "/>
    <s v=" "/>
    <s v=" "/>
    <s v=" "/>
    <m/>
  </r>
  <r>
    <x v="1"/>
    <n v="439096"/>
    <s v=" "/>
    <n v="1568330.39"/>
    <x v="1"/>
    <x v="88"/>
    <d v="2025-11-30T00:00:00"/>
    <s v=" "/>
    <s v=" "/>
    <n v="8"/>
    <s v="Interfaz Deuda JDE"/>
    <s v=" "/>
    <m/>
    <m/>
    <s v=" "/>
    <x v="5"/>
    <s v="AA"/>
    <s v="A"/>
    <s v="00030731"/>
    <s v="00598"/>
    <s v="00533"/>
    <n v="1944733"/>
    <s v="G"/>
    <s v=" "/>
    <s v=" "/>
    <s v=" "/>
    <s v=" "/>
    <m/>
  </r>
  <r>
    <x v="1"/>
    <n v="439097"/>
    <s v=" "/>
    <n v="1893887.13"/>
    <x v="1"/>
    <x v="89"/>
    <d v="2025-11-30T00:00:00"/>
    <s v=" "/>
    <s v=" "/>
    <n v="7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0"/>
    <n v="456149"/>
    <s v=" "/>
    <n v="5796121.7199999997"/>
    <x v="1"/>
    <x v="89"/>
    <d v="2025-11-30T00:00:00"/>
    <s v=" "/>
    <s v=" "/>
    <n v="8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1184189.75"/>
    <x v="1"/>
    <x v="89"/>
    <d v="2025-11-30T00:00:00"/>
    <s v=" "/>
    <s v=" "/>
    <n v="9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12620002.92"/>
    <x v="1"/>
    <x v="89"/>
    <d v="2025-11-30T00:00:00"/>
    <s v=" "/>
    <s v=" "/>
    <n v="10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365551.51"/>
    <x v="1"/>
    <x v="89"/>
    <d v="2025-11-30T00:00:00"/>
    <s v=" "/>
    <s v=" "/>
    <n v="11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750596.97"/>
    <x v="1"/>
    <x v="89"/>
    <d v="2025-11-30T00:00:00"/>
    <s v=" "/>
    <s v=" "/>
    <n v="12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3677394.68"/>
    <x v="1"/>
    <x v="90"/>
    <d v="2025-11-30T00:00:00"/>
    <s v=" "/>
    <s v=" "/>
    <n v="7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0"/>
    <n v="456149"/>
    <s v=" "/>
    <n v="11254433.73"/>
    <x v="1"/>
    <x v="90"/>
    <d v="2025-11-30T00:00:00"/>
    <s v=" "/>
    <s v=" "/>
    <n v="8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2299362.52"/>
    <x v="1"/>
    <x v="90"/>
    <d v="2025-11-30T00:00:00"/>
    <s v=" "/>
    <s v=" "/>
    <n v="9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24486620.859999999"/>
    <x v="1"/>
    <x v="90"/>
    <d v="2025-11-30T00:00:00"/>
    <s v=" "/>
    <s v=" "/>
    <n v="10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709797.94"/>
    <x v="1"/>
    <x v="90"/>
    <d v="2025-11-30T00:00:00"/>
    <s v=" "/>
    <s v=" "/>
    <n v="11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1457447.62"/>
    <x v="1"/>
    <x v="90"/>
    <d v="2025-11-30T00:00:00"/>
    <s v=" "/>
    <s v=" "/>
    <n v="12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937338.13"/>
    <x v="1"/>
    <x v="91"/>
    <d v="2025-11-30T00:00:00"/>
    <s v=" "/>
    <s v=" "/>
    <n v="8"/>
    <s v="Interfaz Deuda JDE"/>
    <s v=" "/>
    <m/>
    <m/>
    <s v=" "/>
    <x v="3"/>
    <s v="AA"/>
    <s v="A"/>
    <s v="00034543"/>
    <s v="00598"/>
    <s v="00533"/>
    <n v="1944733"/>
    <s v="G"/>
    <s v=" "/>
    <s v=" "/>
    <s v=" "/>
    <s v=" "/>
    <m/>
  </r>
  <r>
    <x v="2"/>
    <n v="459382"/>
    <s v=" "/>
    <n v="1774671.92"/>
    <x v="1"/>
    <x v="91"/>
    <d v="2025-11-30T00:00:00"/>
    <s v=" "/>
    <s v=" "/>
    <n v="9"/>
    <s v="Interfaz Deuda JDE"/>
    <s v=" "/>
    <m/>
    <m/>
    <s v=" "/>
    <x v="8"/>
    <s v="AA"/>
    <s v="A"/>
    <s v="00034543"/>
    <s v="00598"/>
    <s v="00533"/>
    <n v="1944733"/>
    <s v="G"/>
    <s v=" "/>
    <s v=" "/>
    <s v=" "/>
    <s v=" "/>
    <m/>
  </r>
  <r>
    <x v="0"/>
    <n v="456149"/>
    <s v=" "/>
    <n v="2868664.04"/>
    <x v="1"/>
    <x v="91"/>
    <d v="2025-11-30T00:00:00"/>
    <s v=" "/>
    <s v=" "/>
    <n v="10"/>
    <s v="Interfaz Deuda JDE"/>
    <s v=" "/>
    <m/>
    <m/>
    <s v=" "/>
    <x v="6"/>
    <s v="AA"/>
    <s v="A"/>
    <s v="00034543"/>
    <s v="00598"/>
    <s v="00533"/>
    <n v="1944733"/>
    <s v="G"/>
    <s v=" "/>
    <s v=" "/>
    <s v=" "/>
    <s v=" "/>
    <m/>
  </r>
  <r>
    <x v="2"/>
    <n v="438068"/>
    <s v=" "/>
    <n v="586088.89"/>
    <x v="1"/>
    <x v="91"/>
    <d v="2025-11-30T00:00:00"/>
    <s v=" "/>
    <s v=" "/>
    <n v="11"/>
    <s v="Interfaz Deuda JDE"/>
    <s v=" "/>
    <m/>
    <m/>
    <s v=" "/>
    <x v="4"/>
    <s v="AA"/>
    <s v="A"/>
    <s v="00034543"/>
    <s v="00598"/>
    <s v="00533"/>
    <n v="1944733"/>
    <s v="G"/>
    <s v=" "/>
    <s v=" "/>
    <s v=" "/>
    <s v=" "/>
    <m/>
  </r>
  <r>
    <x v="1"/>
    <n v="327543"/>
    <s v=" "/>
    <n v="5538765"/>
    <x v="1"/>
    <x v="91"/>
    <d v="2025-11-30T00:00:00"/>
    <s v=" "/>
    <s v=" "/>
    <n v="12"/>
    <s v="Interfaz Deuda JDE"/>
    <s v=" "/>
    <m/>
    <m/>
    <s v=" "/>
    <x v="2"/>
    <s v="AA"/>
    <s v="A"/>
    <s v="00034543"/>
    <s v="00598"/>
    <s v="00533"/>
    <n v="1944733"/>
    <s v="G"/>
    <s v=" "/>
    <s v=" "/>
    <s v=" "/>
    <s v=" "/>
    <m/>
  </r>
  <r>
    <x v="1"/>
    <n v="439096"/>
    <s v=" "/>
    <n v="180921.75"/>
    <x v="1"/>
    <x v="91"/>
    <d v="2025-11-30T00:00:00"/>
    <s v=" "/>
    <s v=" "/>
    <n v="13"/>
    <s v="Interfaz Deuda JDE"/>
    <s v=" "/>
    <m/>
    <m/>
    <s v=" "/>
    <x v="5"/>
    <s v="AA"/>
    <s v="A"/>
    <s v="00034543"/>
    <s v="00598"/>
    <s v="00533"/>
    <n v="1944733"/>
    <s v="G"/>
    <s v=" "/>
    <s v=" "/>
    <s v=" "/>
    <s v=" "/>
    <m/>
  </r>
  <r>
    <x v="0"/>
    <n v="457691"/>
    <s v=" "/>
    <n v="371491.6"/>
    <x v="1"/>
    <x v="91"/>
    <d v="2025-11-30T00:00:00"/>
    <s v=" "/>
    <s v=" "/>
    <n v="14"/>
    <s v="Interfaz Deuda JDE"/>
    <s v=" "/>
    <m/>
    <m/>
    <s v=" "/>
    <x v="7"/>
    <s v="AA"/>
    <s v="A"/>
    <s v="00034543"/>
    <s v="00598"/>
    <s v="00533"/>
    <n v="1944733"/>
    <s v="G"/>
    <s v=" "/>
    <s v=" "/>
    <s v=" "/>
    <s v=" "/>
    <m/>
  </r>
  <r>
    <x v="1"/>
    <n v="439097"/>
    <s v=" "/>
    <n v="938081.95"/>
    <x v="1"/>
    <x v="92"/>
    <d v="2025-11-30T00:00:00"/>
    <s v=" "/>
    <s v=" "/>
    <n v="8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59382"/>
    <s v=" "/>
    <n v="1776080.19"/>
    <x v="1"/>
    <x v="92"/>
    <d v="2025-11-30T00:00:00"/>
    <s v=" "/>
    <s v=" "/>
    <n v="9"/>
    <s v="Interfaz Deuda JDE"/>
    <s v=" "/>
    <m/>
    <m/>
    <s v=" "/>
    <x v="8"/>
    <s v="AA"/>
    <s v="A"/>
    <s v="00007681"/>
    <s v="00598"/>
    <s v="00533"/>
    <n v="1944733"/>
    <s v="G"/>
    <s v=" "/>
    <s v=" "/>
    <s v=" "/>
    <s v=" "/>
    <m/>
  </r>
  <r>
    <x v="0"/>
    <n v="456149"/>
    <s v=" "/>
    <n v="2870940.44"/>
    <x v="1"/>
    <x v="92"/>
    <d v="2025-11-30T00:00:00"/>
    <s v=" "/>
    <s v=" "/>
    <n v="10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586553.97"/>
    <x v="1"/>
    <x v="92"/>
    <d v="2025-11-30T00:00:00"/>
    <s v=" "/>
    <s v=" "/>
    <n v="11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5588514.9299999997"/>
    <x v="1"/>
    <x v="92"/>
    <d v="2025-11-30T00:00:00"/>
    <s v=" "/>
    <s v=" "/>
    <n v="12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181065.32"/>
    <x v="1"/>
    <x v="92"/>
    <d v="2025-11-30T00:00:00"/>
    <s v=" "/>
    <s v=" "/>
    <n v="13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371786.39"/>
    <x v="1"/>
    <x v="92"/>
    <d v="2025-11-30T00:00:00"/>
    <s v=" "/>
    <s v=" "/>
    <n v="14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2843808.32"/>
    <x v="1"/>
    <x v="93"/>
    <d v="2025-11-30T00:00:00"/>
    <s v=" "/>
    <s v=" "/>
    <n v="8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59382"/>
    <s v=" "/>
    <n v="5384211.5199999996"/>
    <x v="1"/>
    <x v="93"/>
    <d v="2025-11-30T00:00:00"/>
    <s v=" "/>
    <s v=" "/>
    <n v="9"/>
    <s v="Interfaz Deuda JDE"/>
    <s v=" "/>
    <m/>
    <m/>
    <s v=" "/>
    <x v="8"/>
    <s v="AA"/>
    <s v="A"/>
    <s v="00007681"/>
    <s v="00598"/>
    <s v="00533"/>
    <n v="1944733"/>
    <s v="G"/>
    <s v=" "/>
    <s v=" "/>
    <s v=" "/>
    <s v=" "/>
    <m/>
  </r>
  <r>
    <x v="0"/>
    <n v="456149"/>
    <s v=" "/>
    <n v="8703295.4100000001"/>
    <x v="1"/>
    <x v="93"/>
    <d v="2025-11-30T00:00:00"/>
    <s v=" "/>
    <s v=" "/>
    <n v="10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1778146.44"/>
    <x v="1"/>
    <x v="93"/>
    <d v="2025-11-30T00:00:00"/>
    <s v=" "/>
    <s v=" "/>
    <n v="11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16946388.98"/>
    <x v="1"/>
    <x v="93"/>
    <d v="2025-11-30T00:00:00"/>
    <s v=" "/>
    <s v=" "/>
    <n v="12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548902"/>
    <x v="1"/>
    <x v="93"/>
    <d v="2025-11-30T00:00:00"/>
    <s v=" "/>
    <s v=" "/>
    <n v="13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1127075.56"/>
    <x v="1"/>
    <x v="93"/>
    <d v="2025-11-30T00:00:00"/>
    <s v=" "/>
    <s v=" "/>
    <n v="14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1"/>
    <n v="439097"/>
    <s v=" "/>
    <n v="4929938.93"/>
    <x v="1"/>
    <x v="94"/>
    <d v="2025-11-30T00:00:00"/>
    <s v=" "/>
    <s v=" "/>
    <n v="8"/>
    <s v="Interfaz Deuda JDE"/>
    <s v=" "/>
    <m/>
    <m/>
    <s v=" "/>
    <x v="3"/>
    <s v="AA"/>
    <s v="A"/>
    <s v="00007681"/>
    <s v="00598"/>
    <s v="00533"/>
    <n v="1944733"/>
    <s v="G"/>
    <s v=" "/>
    <s v=" "/>
    <s v=" "/>
    <s v=" "/>
    <m/>
  </r>
  <r>
    <x v="2"/>
    <n v="459382"/>
    <s v=" "/>
    <n v="9333904.0500000007"/>
    <x v="1"/>
    <x v="94"/>
    <d v="2025-11-30T00:00:00"/>
    <s v=" "/>
    <s v=" "/>
    <n v="9"/>
    <s v="Interfaz Deuda JDE"/>
    <s v=" "/>
    <m/>
    <m/>
    <s v=" "/>
    <x v="8"/>
    <s v="AA"/>
    <s v="A"/>
    <s v="00007681"/>
    <s v="00598"/>
    <s v="00533"/>
    <n v="1944733"/>
    <s v="G"/>
    <s v=" "/>
    <s v=" "/>
    <s v=" "/>
    <s v=" "/>
    <m/>
  </r>
  <r>
    <x v="0"/>
    <n v="456149"/>
    <s v=" "/>
    <n v="15087766.16"/>
    <x v="1"/>
    <x v="94"/>
    <d v="2025-11-30T00:00:00"/>
    <s v=" "/>
    <s v=" "/>
    <n v="10"/>
    <s v="Interfaz Deuda JDE"/>
    <s v=" "/>
    <m/>
    <m/>
    <s v=" "/>
    <x v="6"/>
    <s v="AA"/>
    <s v="A"/>
    <s v="00007681"/>
    <s v="00598"/>
    <s v="00533"/>
    <n v="1944733"/>
    <s v="G"/>
    <s v=" "/>
    <s v=" "/>
    <s v=" "/>
    <s v=" "/>
    <m/>
  </r>
  <r>
    <x v="2"/>
    <n v="438068"/>
    <s v=" "/>
    <n v="3082540.16"/>
    <x v="1"/>
    <x v="94"/>
    <d v="2025-11-30T00:00:00"/>
    <s v=" "/>
    <s v=" "/>
    <n v="11"/>
    <s v="Interfaz Deuda JDE"/>
    <s v=" "/>
    <m/>
    <m/>
    <s v=" "/>
    <x v="4"/>
    <s v="AA"/>
    <s v="A"/>
    <s v="00007681"/>
    <s v="00598"/>
    <s v="00533"/>
    <n v="1944733"/>
    <s v="G"/>
    <s v=" "/>
    <s v=" "/>
    <s v=" "/>
    <s v=" "/>
    <m/>
  </r>
  <r>
    <x v="1"/>
    <n v="327543"/>
    <s v=" "/>
    <n v="3951734.75"/>
    <x v="1"/>
    <x v="94"/>
    <d v="2025-11-30T00:00:00"/>
    <s v=" "/>
    <s v=" "/>
    <n v="12"/>
    <s v="Interfaz Deuda JDE"/>
    <s v=" "/>
    <m/>
    <m/>
    <s v=" "/>
    <x v="2"/>
    <s v="AA"/>
    <s v="A"/>
    <s v="00007681"/>
    <s v="00598"/>
    <s v="00533"/>
    <n v="1944733"/>
    <s v="G"/>
    <s v=" "/>
    <s v=" "/>
    <s v=" "/>
    <s v=" "/>
    <m/>
  </r>
  <r>
    <x v="1"/>
    <n v="439096"/>
    <s v=" "/>
    <n v="951559.68000000005"/>
    <x v="1"/>
    <x v="94"/>
    <d v="2025-11-30T00:00:00"/>
    <s v=" "/>
    <s v=" "/>
    <n v="13"/>
    <s v="Interfaz Deuda JDE"/>
    <s v=" "/>
    <m/>
    <m/>
    <s v=" "/>
    <x v="5"/>
    <s v="AA"/>
    <s v="A"/>
    <s v="00007681"/>
    <s v="00598"/>
    <s v="00533"/>
    <n v="1944733"/>
    <s v="G"/>
    <s v=" "/>
    <s v=" "/>
    <s v=" "/>
    <s v=" "/>
    <m/>
  </r>
  <r>
    <x v="0"/>
    <n v="457691"/>
    <s v=" "/>
    <n v="1953863.65"/>
    <x v="1"/>
    <x v="94"/>
    <d v="2025-11-30T00:00:00"/>
    <s v=" "/>
    <s v=" "/>
    <n v="14"/>
    <s v="Interfaz Deuda JDE"/>
    <s v=" "/>
    <m/>
    <m/>
    <s v=" "/>
    <x v="7"/>
    <s v="AA"/>
    <s v="A"/>
    <s v="00007681"/>
    <s v="00598"/>
    <s v="00533"/>
    <n v="1944733"/>
    <s v="G"/>
    <s v=" "/>
    <s v=" "/>
    <s v=" "/>
    <s v=" "/>
    <m/>
  </r>
  <r>
    <x v="3"/>
    <m/>
    <s v="AJ IVA RECONOC REQ000003175538"/>
    <n v="-91996.03"/>
    <x v="2"/>
    <x v="95"/>
    <d v="2025-11-13T00:00:00"/>
    <s v=" "/>
    <s v=" "/>
    <n v="2"/>
    <s v="AJ IVA RECONOC REQ000003175538"/>
    <s v=" "/>
    <m/>
    <m/>
    <s v=" "/>
    <x v="9"/>
    <s v="AA"/>
    <s v=" "/>
    <s v=" "/>
    <s v="00533"/>
    <s v="00533"/>
    <n v="1939134"/>
    <s v="G"/>
    <s v=" "/>
    <m/>
    <m/>
    <s v=" "/>
    <m/>
  </r>
  <r>
    <x v="3"/>
    <m/>
    <s v="INDEMNIZACIÓN VEHÍCULO OWG638"/>
    <n v="100521822.89"/>
    <x v="3"/>
    <x v="96"/>
    <d v="2025-11-25T00:00:00"/>
    <s v=" "/>
    <s v=" "/>
    <n v="1"/>
    <s v="INDEMNIZACIÓN VEHÍCULO OWG638"/>
    <s v=" "/>
    <m/>
    <m/>
    <s v=" "/>
    <x v="10"/>
    <s v="AA"/>
    <s v=" "/>
    <s v=" "/>
    <s v="00533"/>
    <s v="00533"/>
    <n v="1942540"/>
    <s v="G"/>
    <s v=" "/>
    <m/>
    <m/>
    <s v=" "/>
    <m/>
  </r>
  <r>
    <x v="3"/>
    <m/>
    <s v="INDEMNIZACIÓN VEHÍCULO OWG638"/>
    <n v="-100521822.89"/>
    <x v="3"/>
    <x v="96"/>
    <d v="2025-11-25T00:00:00"/>
    <s v=" "/>
    <s v=" "/>
    <n v="2"/>
    <s v="INDEMNIZACIÓN VEHÍCULO OWG638"/>
    <s v=" "/>
    <m/>
    <m/>
    <s v=" "/>
    <x v="11"/>
    <s v="AA"/>
    <s v=" "/>
    <s v=" "/>
    <s v="00533"/>
    <s v="00533"/>
    <n v="1942540"/>
    <s v="G"/>
    <s v=" "/>
    <m/>
    <m/>
    <s v=" "/>
    <m/>
  </r>
  <r>
    <x v="4"/>
    <m/>
    <s v="231823"/>
    <n v="-542334.54"/>
    <x v="4"/>
    <x v="97"/>
    <d v="2025-11-06T00:00:00"/>
    <s v=" "/>
    <s v=" "/>
    <n v="1"/>
    <s v="KZ CODIGOS DUPLICADOS"/>
    <s v=" "/>
    <m/>
    <n v="-3"/>
    <s v=" "/>
    <x v="12"/>
    <s v="AA"/>
    <s v=" "/>
    <s v=" "/>
    <s v="00533"/>
    <s v="00533"/>
    <n v="1936104"/>
    <s v="N"/>
    <s v=" "/>
    <m/>
    <m/>
    <s v=" "/>
    <m/>
  </r>
  <r>
    <x v="4"/>
    <m/>
    <s v="231823"/>
    <n v="542334.54"/>
    <x v="4"/>
    <x v="97"/>
    <d v="2025-11-06T00:00:00"/>
    <s v=" "/>
    <s v=" "/>
    <n v="2"/>
    <s v="KZ CODIGOS DUPLICADOS"/>
    <s v=" "/>
    <m/>
    <n v="3"/>
    <s v=" "/>
    <x v="12"/>
    <s v="AA"/>
    <s v=" "/>
    <s v=" "/>
    <s v="00533"/>
    <s v="00533"/>
    <n v="1936104"/>
    <s v="N"/>
    <s v=" "/>
    <m/>
    <m/>
    <s v=" "/>
    <m/>
  </r>
  <r>
    <x v="4"/>
    <m/>
    <s v="216262"/>
    <n v="-165569.9"/>
    <x v="4"/>
    <x v="97"/>
    <d v="2025-11-06T00:00:00"/>
    <s v=" "/>
    <s v=" "/>
    <n v="3"/>
    <s v="KZ CODIGOS DUPLICADOS"/>
    <s v=" "/>
    <m/>
    <n v="-1"/>
    <s v=" "/>
    <x v="12"/>
    <s v="AA"/>
    <s v=" "/>
    <s v=" "/>
    <s v="00533"/>
    <s v="00533"/>
    <n v="1936104"/>
    <s v="N"/>
    <s v=" "/>
    <m/>
    <m/>
    <s v=" "/>
    <m/>
  </r>
  <r>
    <x v="4"/>
    <m/>
    <s v="216262"/>
    <n v="165569.9"/>
    <x v="4"/>
    <x v="97"/>
    <d v="2025-11-06T00:00:00"/>
    <s v=" "/>
    <s v=" "/>
    <n v="4"/>
    <s v="KZ CODIGOS DUPLICADOS"/>
    <s v=" "/>
    <m/>
    <n v="1"/>
    <s v=" "/>
    <x v="12"/>
    <s v="AA"/>
    <s v=" "/>
    <s v=" "/>
    <s v="00533"/>
    <s v="00533"/>
    <n v="1936104"/>
    <s v="N"/>
    <s v=" "/>
    <m/>
    <m/>
    <s v=" "/>
    <m/>
  </r>
  <r>
    <x v="4"/>
    <m/>
    <s v="212993"/>
    <n v="542334.54"/>
    <x v="4"/>
    <x v="97"/>
    <d v="2025-11-06T00:00:00"/>
    <s v=" "/>
    <s v=" "/>
    <n v="5"/>
    <s v="KZ CODIGOS DUPLICADOS"/>
    <s v=" "/>
    <m/>
    <n v="3"/>
    <s v=" "/>
    <x v="12"/>
    <s v="AA"/>
    <s v=" "/>
    <s v=" "/>
    <s v="00533"/>
    <s v="00533"/>
    <n v="1936104"/>
    <s v="N"/>
    <s v=" "/>
    <m/>
    <m/>
    <s v=" "/>
    <m/>
  </r>
  <r>
    <x v="4"/>
    <m/>
    <s v="212993"/>
    <n v="-542334.54"/>
    <x v="4"/>
    <x v="97"/>
    <d v="2025-11-06T00:00:00"/>
    <s v=" "/>
    <s v=" "/>
    <n v="6"/>
    <s v="KZ CODIGOS DUPLICADOS"/>
    <s v=" "/>
    <m/>
    <n v="-3"/>
    <s v=" "/>
    <x v="12"/>
    <s v="AA"/>
    <s v=" "/>
    <s v=" "/>
    <s v="00533"/>
    <s v="00533"/>
    <n v="1936104"/>
    <s v="N"/>
    <s v=" "/>
    <m/>
    <m/>
    <s v=" "/>
    <m/>
  </r>
  <r>
    <x v="4"/>
    <m/>
    <s v="215169"/>
    <n v="165569.9"/>
    <x v="4"/>
    <x v="97"/>
    <d v="2025-11-06T00:00:00"/>
    <s v=" "/>
    <s v=" "/>
    <n v="7"/>
    <s v="KZ CODIGOS DUPLICADOS"/>
    <s v=" "/>
    <m/>
    <n v="1"/>
    <s v=" "/>
    <x v="12"/>
    <s v="AA"/>
    <s v=" "/>
    <s v=" "/>
    <s v="00533"/>
    <s v="00533"/>
    <n v="1936104"/>
    <s v="N"/>
    <s v=" "/>
    <m/>
    <m/>
    <s v=" "/>
    <m/>
  </r>
  <r>
    <x v="4"/>
    <m/>
    <s v="215169"/>
    <n v="-165569.9"/>
    <x v="4"/>
    <x v="97"/>
    <d v="2025-11-06T00:00:00"/>
    <s v=" "/>
    <s v=" "/>
    <n v="8"/>
    <s v="KZ CODIGOS DUPLICADOS"/>
    <s v=" "/>
    <m/>
    <n v="-1"/>
    <s v=" "/>
    <x v="12"/>
    <s v="AA"/>
    <s v=" "/>
    <s v=" "/>
    <s v="00533"/>
    <s v="00533"/>
    <n v="1936104"/>
    <s v="N"/>
    <s v=" "/>
    <m/>
    <m/>
    <s v=" "/>
    <m/>
  </r>
  <r>
    <x v="4"/>
    <m/>
    <s v="306772"/>
    <n v="-377671.67999999999"/>
    <x v="4"/>
    <x v="98"/>
    <d v="2025-11-06T00:00:00"/>
    <s v=" "/>
    <s v=" "/>
    <n v="1"/>
    <s v="KZ CODIGOS DUPLICADOS"/>
    <s v=" "/>
    <m/>
    <n v="-9"/>
    <s v=" "/>
    <x v="13"/>
    <s v="AA"/>
    <s v=" "/>
    <s v=" "/>
    <s v="00533"/>
    <s v="00533"/>
    <n v="1936105"/>
    <s v="N"/>
    <s v=" "/>
    <m/>
    <m/>
    <s v=" "/>
    <m/>
  </r>
  <r>
    <x v="4"/>
    <m/>
    <s v="306772"/>
    <n v="377671.67999999999"/>
    <x v="4"/>
    <x v="98"/>
    <d v="2025-11-06T00:00:00"/>
    <s v=" "/>
    <s v=" "/>
    <n v="2"/>
    <s v="KZ CODIGOS DUPLICADOS"/>
    <s v=" "/>
    <m/>
    <n v="9"/>
    <s v=" "/>
    <x v="13"/>
    <s v="AA"/>
    <s v=" "/>
    <s v=" "/>
    <s v="00533"/>
    <s v="00533"/>
    <n v="1936105"/>
    <s v="N"/>
    <s v=" "/>
    <m/>
    <m/>
    <s v=" "/>
    <m/>
  </r>
  <r>
    <x v="4"/>
    <m/>
    <s v="231842"/>
    <n v="377671.67999999999"/>
    <x v="4"/>
    <x v="98"/>
    <d v="2025-11-06T00:00:00"/>
    <s v=" "/>
    <s v=" "/>
    <n v="3"/>
    <s v="KZ CODIGOS DUPLICADOS"/>
    <s v=" "/>
    <m/>
    <n v="9"/>
    <s v=" "/>
    <x v="13"/>
    <s v="AA"/>
    <s v=" "/>
    <s v=" "/>
    <s v="00533"/>
    <s v="00533"/>
    <n v="1936105"/>
    <s v="N"/>
    <s v=" "/>
    <m/>
    <m/>
    <s v=" "/>
    <m/>
  </r>
  <r>
    <x v="4"/>
    <m/>
    <s v="231842"/>
    <n v="-377671.67999999999"/>
    <x v="4"/>
    <x v="98"/>
    <d v="2025-11-06T00:00:00"/>
    <s v=" "/>
    <s v=" "/>
    <n v="4"/>
    <s v="KZ CODIGOS DUPLICADOS"/>
    <s v=" "/>
    <m/>
    <n v="-9"/>
    <s v=" "/>
    <x v="13"/>
    <s v="AA"/>
    <s v=" "/>
    <s v=" "/>
    <s v="00533"/>
    <s v="00533"/>
    <n v="1936105"/>
    <s v="N"/>
    <s v=" "/>
    <m/>
    <m/>
    <s v=" "/>
    <m/>
  </r>
  <r>
    <x v="4"/>
    <m/>
    <s v="284"/>
    <n v="-926440.04"/>
    <x v="4"/>
    <x v="99"/>
    <d v="2025-11-06T00:00:00"/>
    <s v=" "/>
    <s v=" "/>
    <n v="1"/>
    <s v="KZ SAPHIRO COD. MENORES 6 DIG."/>
    <s v=" "/>
    <m/>
    <n v="-37"/>
    <s v=" "/>
    <x v="14"/>
    <s v="AA"/>
    <s v=" "/>
    <s v=" "/>
    <s v="00533"/>
    <s v="00533"/>
    <n v="1936142"/>
    <s v="N"/>
    <s v=" "/>
    <m/>
    <m/>
    <s v=" "/>
    <m/>
  </r>
  <r>
    <x v="4"/>
    <m/>
    <s v="284"/>
    <n v="926440.04"/>
    <x v="4"/>
    <x v="99"/>
    <d v="2025-11-06T00:00:00"/>
    <s v=" "/>
    <s v=" "/>
    <n v="2"/>
    <s v="KZ SAPHIRO COD. MENORES 6 DIG."/>
    <s v=" "/>
    <m/>
    <n v="37"/>
    <s v=" "/>
    <x v="14"/>
    <s v="AA"/>
    <s v=" "/>
    <s v=" "/>
    <s v="00533"/>
    <s v="00533"/>
    <n v="1936142"/>
    <s v="N"/>
    <s v=" "/>
    <m/>
    <m/>
    <s v=" "/>
    <m/>
  </r>
  <r>
    <x v="4"/>
    <m/>
    <s v="337824"/>
    <n v="926440.04"/>
    <x v="4"/>
    <x v="99"/>
    <d v="2025-11-06T00:00:00"/>
    <s v=" "/>
    <s v=" "/>
    <n v="3"/>
    <s v="KZ SAPHIRO COD. MENORES 6 DIG."/>
    <s v=" "/>
    <m/>
    <n v="37"/>
    <s v=" "/>
    <x v="14"/>
    <s v="AA"/>
    <s v=" "/>
    <s v=" "/>
    <s v="00533"/>
    <s v="00533"/>
    <n v="1936142"/>
    <s v="N"/>
    <s v=" "/>
    <m/>
    <m/>
    <s v=" "/>
    <m/>
  </r>
  <r>
    <x v="4"/>
    <m/>
    <s v="337824"/>
    <n v="-926440.04"/>
    <x v="4"/>
    <x v="99"/>
    <d v="2025-11-06T00:00:00"/>
    <s v=" "/>
    <s v=" "/>
    <n v="4"/>
    <s v="KZ SAPHIRO COD. MENORES 6 DIG."/>
    <s v=" "/>
    <m/>
    <n v="-37"/>
    <s v=" "/>
    <x v="14"/>
    <s v="AA"/>
    <s v=" "/>
    <s v=" "/>
    <s v="00533"/>
    <s v="00533"/>
    <n v="1936142"/>
    <s v="N"/>
    <s v=" "/>
    <m/>
    <m/>
    <s v=" "/>
    <m/>
  </r>
  <r>
    <x v="4"/>
    <m/>
    <s v="1642"/>
    <n v="-16663400"/>
    <x v="4"/>
    <x v="100"/>
    <d v="2025-11-19T00:00:00"/>
    <s v=" "/>
    <s v=" "/>
    <n v="1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1642"/>
    <n v="16663400"/>
    <x v="4"/>
    <x v="100"/>
    <d v="2025-11-19T00:00:00"/>
    <s v=" "/>
    <s v=" "/>
    <n v="2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1642"/>
    <n v="-16663400"/>
    <x v="4"/>
    <x v="100"/>
    <d v="2025-11-19T00:00:00"/>
    <s v=" "/>
    <s v=" "/>
    <n v="3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1642"/>
    <n v="16663400"/>
    <x v="4"/>
    <x v="100"/>
    <d v="2025-11-19T00:00:00"/>
    <s v=" "/>
    <s v=" "/>
    <n v="4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1642"/>
    <n v="-16663400"/>
    <x v="4"/>
    <x v="100"/>
    <d v="2025-11-19T00:00:00"/>
    <s v=" "/>
    <s v=" "/>
    <n v="5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1642"/>
    <n v="16663400"/>
    <x v="4"/>
    <x v="100"/>
    <d v="2025-11-19T00:00:00"/>
    <s v=" "/>
    <s v=" "/>
    <n v="6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1642"/>
    <n v="-16663400"/>
    <x v="4"/>
    <x v="100"/>
    <d v="2025-11-19T00:00:00"/>
    <s v=" "/>
    <s v=" "/>
    <n v="7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1642"/>
    <n v="16663400"/>
    <x v="4"/>
    <x v="100"/>
    <d v="2025-11-19T00:00:00"/>
    <s v=" "/>
    <s v=" "/>
    <n v="8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1642"/>
    <n v="-16663400"/>
    <x v="4"/>
    <x v="100"/>
    <d v="2025-11-19T00:00:00"/>
    <s v=" "/>
    <s v=" "/>
    <n v="9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1642"/>
    <n v="16663400"/>
    <x v="4"/>
    <x v="100"/>
    <d v="2025-11-19T00:00:00"/>
    <s v=" "/>
    <s v=" "/>
    <n v="10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1642"/>
    <n v="-16663400"/>
    <x v="4"/>
    <x v="100"/>
    <d v="2025-11-19T00:00:00"/>
    <s v=" "/>
    <s v=" "/>
    <n v="11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1642"/>
    <n v="16663400"/>
    <x v="4"/>
    <x v="100"/>
    <d v="2025-11-19T00:00:00"/>
    <s v=" "/>
    <s v=" "/>
    <n v="12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16663400"/>
    <x v="4"/>
    <x v="100"/>
    <d v="2025-11-19T00:00:00"/>
    <s v=" "/>
    <s v=" "/>
    <n v="13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-16663400"/>
    <x v="4"/>
    <x v="100"/>
    <d v="2025-11-19T00:00:00"/>
    <s v=" "/>
    <s v=" "/>
    <n v="14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16663400"/>
    <x v="4"/>
    <x v="100"/>
    <d v="2025-11-19T00:00:00"/>
    <s v=" "/>
    <s v=" "/>
    <n v="15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-16663400"/>
    <x v="4"/>
    <x v="100"/>
    <d v="2025-11-19T00:00:00"/>
    <s v=" "/>
    <s v=" "/>
    <n v="16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16663400"/>
    <x v="4"/>
    <x v="100"/>
    <d v="2025-11-19T00:00:00"/>
    <s v=" "/>
    <s v=" "/>
    <n v="17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-16663400"/>
    <x v="4"/>
    <x v="100"/>
    <d v="2025-11-19T00:00:00"/>
    <s v=" "/>
    <s v=" "/>
    <n v="18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16663400"/>
    <x v="4"/>
    <x v="100"/>
    <d v="2025-11-19T00:00:00"/>
    <s v=" "/>
    <s v=" "/>
    <n v="19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-16663400"/>
    <x v="4"/>
    <x v="100"/>
    <d v="2025-11-19T00:00:00"/>
    <s v=" "/>
    <s v=" "/>
    <n v="20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16663400"/>
    <x v="4"/>
    <x v="100"/>
    <d v="2025-11-19T00:00:00"/>
    <s v=" "/>
    <s v=" "/>
    <n v="21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-16663400"/>
    <x v="4"/>
    <x v="100"/>
    <d v="2025-11-19T00:00:00"/>
    <s v=" "/>
    <s v=" "/>
    <n v="22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16663400"/>
    <x v="4"/>
    <x v="100"/>
    <d v="2025-11-19T00:00:00"/>
    <s v=" "/>
    <s v=" "/>
    <n v="23"/>
    <s v="Homologación Saphiro"/>
    <s v=" "/>
    <m/>
    <n v="1"/>
    <s v=" "/>
    <x v="15"/>
    <s v="AA"/>
    <s v=" "/>
    <s v=" "/>
    <s v="00533"/>
    <s v="00533"/>
    <n v="1940615"/>
    <s v="N"/>
    <s v=" "/>
    <m/>
    <m/>
    <s v=" "/>
    <m/>
  </r>
  <r>
    <x v="4"/>
    <m/>
    <s v="354303"/>
    <n v="-16663400"/>
    <x v="4"/>
    <x v="100"/>
    <d v="2025-11-19T00:00:00"/>
    <s v=" "/>
    <s v=" "/>
    <n v="24"/>
    <s v="Homologación Saphiro"/>
    <s v=" "/>
    <m/>
    <n v="-1"/>
    <s v=" "/>
    <x v="15"/>
    <s v="AA"/>
    <s v=" "/>
    <s v=" "/>
    <s v="00533"/>
    <s v="00533"/>
    <n v="1940615"/>
    <s v="N"/>
    <s v=" "/>
    <m/>
    <m/>
    <s v=" "/>
    <m/>
  </r>
  <r>
    <x v="4"/>
    <m/>
    <s v="1642"/>
    <n v="-16663400"/>
    <x v="4"/>
    <x v="101"/>
    <d v="2025-11-19T00:00:00"/>
    <s v=" "/>
    <s v=" "/>
    <n v="1"/>
    <s v="Homologación Saphiro"/>
    <s v=" "/>
    <m/>
    <n v="-1"/>
    <s v=" "/>
    <x v="16"/>
    <s v="AA"/>
    <s v=" "/>
    <s v=" "/>
    <s v="00533"/>
    <s v="00533"/>
    <n v="1940622"/>
    <s v="N"/>
    <s v=" "/>
    <m/>
    <m/>
    <s v=" "/>
    <m/>
  </r>
  <r>
    <x v="4"/>
    <m/>
    <s v="1642"/>
    <n v="16663400"/>
    <x v="4"/>
    <x v="101"/>
    <d v="2025-11-19T00:00:00"/>
    <s v=" "/>
    <s v=" "/>
    <n v="2"/>
    <s v="Homologación Saphiro"/>
    <s v=" "/>
    <m/>
    <n v="1"/>
    <s v=" "/>
    <x v="16"/>
    <s v="AA"/>
    <s v=" "/>
    <s v=" "/>
    <s v="00533"/>
    <s v="00533"/>
    <n v="1940622"/>
    <s v="N"/>
    <s v=" "/>
    <m/>
    <m/>
    <s v=" "/>
    <m/>
  </r>
  <r>
    <x v="4"/>
    <m/>
    <s v="1642"/>
    <n v="-16663400"/>
    <x v="4"/>
    <x v="101"/>
    <d v="2025-11-19T00:00:00"/>
    <s v=" "/>
    <s v=" "/>
    <n v="3"/>
    <s v="Homologación Saphiro"/>
    <s v=" "/>
    <m/>
    <n v="-1"/>
    <s v=" "/>
    <x v="16"/>
    <s v="AA"/>
    <s v=" "/>
    <s v=" "/>
    <s v="00533"/>
    <s v="00533"/>
    <n v="1940622"/>
    <s v="N"/>
    <s v=" "/>
    <m/>
    <m/>
    <s v=" "/>
    <m/>
  </r>
  <r>
    <x v="4"/>
    <m/>
    <s v="1642"/>
    <n v="16663400"/>
    <x v="4"/>
    <x v="101"/>
    <d v="2025-11-19T00:00:00"/>
    <s v=" "/>
    <s v=" "/>
    <n v="4"/>
    <s v="Homologación Saphiro"/>
    <s v=" "/>
    <m/>
    <n v="1"/>
    <s v=" "/>
    <x v="16"/>
    <s v="AA"/>
    <s v=" "/>
    <s v=" "/>
    <s v="00533"/>
    <s v="00533"/>
    <n v="1940622"/>
    <s v="N"/>
    <s v=" "/>
    <m/>
    <m/>
    <s v=" "/>
    <m/>
  </r>
  <r>
    <x v="4"/>
    <m/>
    <s v="1642"/>
    <n v="-16663400"/>
    <x v="4"/>
    <x v="101"/>
    <d v="2025-11-19T00:00:00"/>
    <s v=" "/>
    <s v=" "/>
    <n v="5"/>
    <s v="Homologación Saphiro"/>
    <s v=" "/>
    <m/>
    <n v="-1"/>
    <s v=" "/>
    <x v="16"/>
    <s v="AA"/>
    <s v=" "/>
    <s v=" "/>
    <s v="00533"/>
    <s v="00533"/>
    <n v="1940622"/>
    <s v="N"/>
    <s v=" "/>
    <m/>
    <m/>
    <s v=" "/>
    <m/>
  </r>
  <r>
    <x v="4"/>
    <m/>
    <s v="1642"/>
    <n v="16663400"/>
    <x v="4"/>
    <x v="101"/>
    <d v="2025-11-19T00:00:00"/>
    <s v=" "/>
    <s v=" "/>
    <n v="6"/>
    <s v="Homologación Saphiro"/>
    <s v=" "/>
    <m/>
    <n v="1"/>
    <s v=" "/>
    <x v="16"/>
    <s v="AA"/>
    <s v=" "/>
    <s v=" "/>
    <s v="00533"/>
    <s v="00533"/>
    <n v="1940622"/>
    <s v="N"/>
    <s v=" "/>
    <m/>
    <m/>
    <s v=" "/>
    <m/>
  </r>
  <r>
    <x v="4"/>
    <m/>
    <s v="354303"/>
    <n v="16663400"/>
    <x v="4"/>
    <x v="101"/>
    <d v="2025-11-19T00:00:00"/>
    <s v=" "/>
    <s v=" "/>
    <n v="7"/>
    <s v="Homologación Saphiro"/>
    <s v=" "/>
    <m/>
    <n v="1"/>
    <s v=" "/>
    <x v="16"/>
    <s v="AA"/>
    <s v=" "/>
    <s v=" "/>
    <s v="00533"/>
    <s v="00533"/>
    <n v="1940622"/>
    <s v="N"/>
    <s v=" "/>
    <m/>
    <m/>
    <s v=" "/>
    <m/>
  </r>
  <r>
    <x v="4"/>
    <m/>
    <s v="354303"/>
    <n v="-16663400"/>
    <x v="4"/>
    <x v="101"/>
    <d v="2025-11-19T00:00:00"/>
    <s v=" "/>
    <s v=" "/>
    <n v="8"/>
    <s v="Homologación Saphiro"/>
    <s v=" "/>
    <m/>
    <n v="-1"/>
    <s v=" "/>
    <x v="16"/>
    <s v="AA"/>
    <s v=" "/>
    <s v=" "/>
    <s v="00533"/>
    <s v="00533"/>
    <n v="1940622"/>
    <s v="N"/>
    <s v=" "/>
    <m/>
    <m/>
    <s v=" "/>
    <m/>
  </r>
  <r>
    <x v="4"/>
    <m/>
    <s v="354303"/>
    <n v="16663400"/>
    <x v="4"/>
    <x v="101"/>
    <d v="2025-11-19T00:00:00"/>
    <s v=" "/>
    <s v=" "/>
    <n v="9"/>
    <s v="Homologación Saphiro"/>
    <s v=" "/>
    <m/>
    <n v="1"/>
    <s v=" "/>
    <x v="16"/>
    <s v="AA"/>
    <s v=" "/>
    <s v=" "/>
    <s v="00533"/>
    <s v="00533"/>
    <n v="1940622"/>
    <s v="N"/>
    <s v=" "/>
    <m/>
    <m/>
    <s v=" "/>
    <m/>
  </r>
  <r>
    <x v="4"/>
    <m/>
    <s v="354303"/>
    <n v="-16663400"/>
    <x v="4"/>
    <x v="101"/>
    <d v="2025-11-19T00:00:00"/>
    <s v=" "/>
    <s v=" "/>
    <n v="10"/>
    <s v="Homologación Saphiro"/>
    <s v=" "/>
    <m/>
    <n v="-1"/>
    <s v=" "/>
    <x v="16"/>
    <s v="AA"/>
    <s v=" "/>
    <s v=" "/>
    <s v="00533"/>
    <s v="00533"/>
    <n v="1940622"/>
    <s v="N"/>
    <s v=" "/>
    <m/>
    <m/>
    <s v=" "/>
    <m/>
  </r>
  <r>
    <x v="4"/>
    <m/>
    <s v="354303"/>
    <n v="16663400"/>
    <x v="4"/>
    <x v="101"/>
    <d v="2025-11-19T00:00:00"/>
    <s v=" "/>
    <s v=" "/>
    <n v="11"/>
    <s v="Homologación Saphiro"/>
    <s v=" "/>
    <m/>
    <n v="1"/>
    <s v=" "/>
    <x v="16"/>
    <s v="AA"/>
    <s v=" "/>
    <s v=" "/>
    <s v="00533"/>
    <s v="00533"/>
    <n v="1940622"/>
    <s v="N"/>
    <s v=" "/>
    <m/>
    <m/>
    <s v=" "/>
    <m/>
  </r>
  <r>
    <x v="4"/>
    <m/>
    <s v="354303"/>
    <n v="-16663400"/>
    <x v="4"/>
    <x v="101"/>
    <d v="2025-11-19T00:00:00"/>
    <s v=" "/>
    <s v=" "/>
    <n v="12"/>
    <s v="Homologación Saphiro"/>
    <s v=" "/>
    <m/>
    <n v="-1"/>
    <s v=" "/>
    <x v="16"/>
    <s v="AA"/>
    <s v=" "/>
    <s v=" "/>
    <s v="00533"/>
    <s v="00533"/>
    <n v="1940622"/>
    <s v="N"/>
    <s v=" "/>
    <m/>
    <m/>
    <s v=" "/>
    <m/>
  </r>
  <r>
    <x v="4"/>
    <m/>
    <s v="1527"/>
    <n v="-370558.2"/>
    <x v="4"/>
    <x v="102"/>
    <d v="2025-11-19T00:00:00"/>
    <s v=" "/>
    <s v=" "/>
    <n v="1"/>
    <s v="Homologación Saphiro"/>
    <s v=" "/>
    <m/>
    <n v="-2"/>
    <s v=" "/>
    <x v="12"/>
    <s v="AA"/>
    <s v=" "/>
    <s v=" "/>
    <s v="00533"/>
    <s v="00533"/>
    <n v="1940624"/>
    <s v="N"/>
    <s v=" "/>
    <m/>
    <m/>
    <s v=" "/>
    <m/>
  </r>
  <r>
    <x v="4"/>
    <m/>
    <s v="1527"/>
    <n v="370558.2"/>
    <x v="4"/>
    <x v="102"/>
    <d v="2025-11-19T00:00:00"/>
    <s v=" "/>
    <s v=" "/>
    <n v="2"/>
    <s v="Homologación Saphiro"/>
    <s v=" "/>
    <m/>
    <n v="2"/>
    <s v=" "/>
    <x v="12"/>
    <s v="AA"/>
    <s v=" "/>
    <s v=" "/>
    <s v="00533"/>
    <s v="00533"/>
    <n v="1940624"/>
    <s v="N"/>
    <s v=" "/>
    <m/>
    <m/>
    <s v=" "/>
    <m/>
  </r>
  <r>
    <x v="4"/>
    <m/>
    <s v="210883"/>
    <n v="370558.2"/>
    <x v="4"/>
    <x v="102"/>
    <d v="2025-11-19T00:00:00"/>
    <s v=" "/>
    <s v=" "/>
    <n v="3"/>
    <s v="Homologación Saphiro"/>
    <s v=" "/>
    <m/>
    <n v="2"/>
    <s v=" "/>
    <x v="12"/>
    <s v="AA"/>
    <s v=" "/>
    <s v=" "/>
    <s v="00533"/>
    <s v="00533"/>
    <n v="1940624"/>
    <s v="N"/>
    <s v=" "/>
    <m/>
    <m/>
    <s v=" "/>
    <m/>
  </r>
  <r>
    <x v="4"/>
    <m/>
    <s v="210883"/>
    <n v="-370558.2"/>
    <x v="4"/>
    <x v="102"/>
    <d v="2025-11-19T00:00:00"/>
    <s v=" "/>
    <s v=" "/>
    <n v="4"/>
    <s v="Homologación Saphiro"/>
    <s v=" "/>
    <m/>
    <n v="-2"/>
    <s v=" "/>
    <x v="12"/>
    <s v="AA"/>
    <s v=" "/>
    <s v=" "/>
    <s v="00533"/>
    <s v="00533"/>
    <n v="1940624"/>
    <s v="N"/>
    <s v=" "/>
    <m/>
    <m/>
    <s v=" "/>
    <m/>
  </r>
  <r>
    <x v="0"/>
    <n v="438071"/>
    <s v="Servicios personales"/>
    <n v="229259"/>
    <x v="5"/>
    <x v="103"/>
    <d v="2025-11-28T00:00:00"/>
    <s v=" "/>
    <s v=" "/>
    <n v="1"/>
    <s v="MONCADA SANCHEZ SERGIO"/>
    <s v=" "/>
    <m/>
    <n v="1"/>
    <s v=" "/>
    <x v="17"/>
    <s v="AA"/>
    <s v=" "/>
    <s v=" "/>
    <s v="00533"/>
    <s v="00533"/>
    <n v="1944427"/>
    <s v="O"/>
    <s v=" "/>
    <s v=" "/>
    <s v=" "/>
    <s v="00029287"/>
    <m/>
  </r>
  <r>
    <x v="0"/>
    <n v="438071"/>
    <s v="Servicios personales"/>
    <n v="229259"/>
    <x v="5"/>
    <x v="104"/>
    <d v="2025-11-28T00:00:00"/>
    <s v=" "/>
    <s v=" "/>
    <n v="1"/>
    <s v="GUTIERREZ BUENDIA ALBERTO"/>
    <s v=" "/>
    <m/>
    <n v="1"/>
    <s v=" "/>
    <x v="17"/>
    <s v="AA"/>
    <s v=" "/>
    <s v=" "/>
    <s v="00533"/>
    <s v="00533"/>
    <n v="1944430"/>
    <s v="O"/>
    <s v=" "/>
    <s v=" "/>
    <s v=" "/>
    <s v="00029288"/>
    <m/>
  </r>
  <r>
    <x v="5"/>
    <n v="467996"/>
    <s v="AGUACHICA"/>
    <n v="-86943954"/>
    <x v="6"/>
    <x v="105"/>
    <d v="2025-11-10T00:00:00"/>
    <s v=" "/>
    <s v=" "/>
    <n v="1"/>
    <s v="BAEZ ANA CLOVIS"/>
    <s v=" "/>
    <m/>
    <n v="-86943954"/>
    <s v=" "/>
    <x v="1"/>
    <s v="AA"/>
    <s v=" "/>
    <s v=" "/>
    <s v="00533"/>
    <s v="00533"/>
    <n v="1937530"/>
    <s v="O"/>
    <s v=" "/>
    <s v=" "/>
    <s v=" "/>
    <s v="00103973"/>
    <m/>
  </r>
  <r>
    <x v="5"/>
    <n v="467996"/>
    <s v="AGUACHICA"/>
    <n v="86943954"/>
    <x v="6"/>
    <x v="106"/>
    <d v="2025-11-10T00:00:00"/>
    <s v=" "/>
    <s v=" "/>
    <n v="1"/>
    <s v="BAEZ ANA CLOVIS"/>
    <s v=" "/>
    <m/>
    <n v="86943954"/>
    <s v=" "/>
    <x v="1"/>
    <s v="AA"/>
    <s v=" "/>
    <s v=" "/>
    <s v="00533"/>
    <s v="00533"/>
    <n v="1937549"/>
    <s v="O"/>
    <s v=" "/>
    <s v=" "/>
    <s v=" "/>
    <s v="00104190"/>
    <m/>
  </r>
  <r>
    <x v="3"/>
    <n v="28442"/>
    <s v="BUCARAMANGA"/>
    <n v="6970797"/>
    <x v="6"/>
    <x v="107"/>
    <d v="2025-11-11T00:00:00"/>
    <s v=" "/>
    <s v=" "/>
    <n v="7"/>
    <s v="SERVHIMEC SAS"/>
    <s v=" "/>
    <m/>
    <n v="6970797"/>
    <s v=" "/>
    <x v="18"/>
    <s v="AA"/>
    <s v=" "/>
    <s v=" "/>
    <s v="00533"/>
    <s v="00533"/>
    <n v="1938465"/>
    <s v="O"/>
    <s v=" "/>
    <s v="75685"/>
    <s v="0789 P0779"/>
    <s v="00104246"/>
    <m/>
  </r>
  <r>
    <x v="3"/>
    <n v="349572"/>
    <s v="BUCARAMANGA"/>
    <n v="3582163"/>
    <x v="6"/>
    <x v="107"/>
    <d v="2025-11-11T00:00:00"/>
    <s v=" "/>
    <s v=" "/>
    <n v="9"/>
    <s v="SERVHIMEC SAS"/>
    <s v=" "/>
    <m/>
    <n v="3582163"/>
    <s v=" "/>
    <x v="18"/>
    <s v="AA"/>
    <s v=" "/>
    <s v=" "/>
    <s v="00533"/>
    <s v="00533"/>
    <n v="1938465"/>
    <s v="O"/>
    <s v=" "/>
    <s v=" "/>
    <s v=" "/>
    <s v="00104246"/>
    <m/>
  </r>
  <r>
    <x v="3"/>
    <n v="332195"/>
    <s v="BUCARAMANGA"/>
    <n v="36179508"/>
    <x v="6"/>
    <x v="107"/>
    <d v="2025-11-11T00:00:00"/>
    <s v=" "/>
    <s v=" "/>
    <n v="11"/>
    <s v="SERVHIMEC SAS"/>
    <s v=" "/>
    <m/>
    <n v="36179508"/>
    <s v=" "/>
    <x v="18"/>
    <s v="AA"/>
    <s v=" "/>
    <s v=" "/>
    <s v="00533"/>
    <s v="00533"/>
    <n v="1938465"/>
    <s v="O"/>
    <s v=" "/>
    <s v=" "/>
    <s v=" "/>
    <s v="00104246"/>
    <m/>
  </r>
  <r>
    <x v="6"/>
    <m/>
    <s v="BUCARAMANGA"/>
    <n v="464000"/>
    <x v="6"/>
    <x v="108"/>
    <d v="2025-11-13T00:00:00"/>
    <s v=" "/>
    <s v=" "/>
    <n v="5"/>
    <s v="SERVHIMEC SAS"/>
    <s v=" "/>
    <m/>
    <n v="464000"/>
    <s v=" "/>
    <x v="18"/>
    <s v="AA"/>
    <s v=" "/>
    <s v=" "/>
    <s v="00533"/>
    <s v="00533"/>
    <n v="1939313"/>
    <s v="O"/>
    <s v=" "/>
    <m/>
    <m/>
    <s v="00104350"/>
    <m/>
  </r>
  <r>
    <x v="6"/>
    <m/>
    <s v="BUCARAMANGA"/>
    <n v="31937000"/>
    <x v="6"/>
    <x v="108"/>
    <d v="2025-11-13T00:00:00"/>
    <s v=" "/>
    <s v=" "/>
    <n v="7"/>
    <s v="SERVHIMEC SAS"/>
    <s v=" "/>
    <m/>
    <n v="31937000"/>
    <s v=" "/>
    <x v="18"/>
    <s v="AA"/>
    <s v=" "/>
    <s v=" "/>
    <s v="00533"/>
    <s v="00533"/>
    <n v="1939313"/>
    <s v="O"/>
    <s v=" "/>
    <m/>
    <m/>
    <s v="00104350"/>
    <m/>
  </r>
  <r>
    <x v="6"/>
    <n v="28448"/>
    <s v="CUCUTA"/>
    <n v="136269800"/>
    <x v="6"/>
    <x v="109"/>
    <d v="2025-11-18T00:00:00"/>
    <s v=" "/>
    <s v=" "/>
    <n v="7"/>
    <s v="SERVHIMEC SAS"/>
    <s v=" "/>
    <m/>
    <n v="136269800"/>
    <s v=" "/>
    <x v="11"/>
    <s v="AA"/>
    <s v=" "/>
    <s v=" "/>
    <s v="00533"/>
    <s v="00533"/>
    <n v="1939881"/>
    <s v="O"/>
    <s v=" "/>
    <s v="75692"/>
    <s v="DR060051"/>
    <s v="00104288"/>
    <m/>
  </r>
  <r>
    <x v="6"/>
    <n v="464361"/>
    <s v="CUCUTA"/>
    <n v="70899500"/>
    <x v="6"/>
    <x v="109"/>
    <d v="2025-11-18T00:00:00"/>
    <s v=" "/>
    <s v=" "/>
    <n v="9"/>
    <s v="SERVHIMEC SAS"/>
    <s v=" "/>
    <m/>
    <n v="70899500"/>
    <s v=" "/>
    <x v="11"/>
    <s v="AA"/>
    <s v=" "/>
    <s v=" "/>
    <s v="00533"/>
    <s v="00533"/>
    <n v="1939881"/>
    <s v="O"/>
    <s v=" "/>
    <s v=" "/>
    <s v=" "/>
    <s v="00104288"/>
    <m/>
  </r>
  <r>
    <x v="6"/>
    <n v="464360"/>
    <s v="CUCUTA"/>
    <n v="70899500"/>
    <x v="6"/>
    <x v="109"/>
    <d v="2025-11-18T00:00:00"/>
    <s v=" "/>
    <s v=" "/>
    <n v="11"/>
    <s v="SERVHIMEC SAS"/>
    <s v=" "/>
    <m/>
    <n v="70899500"/>
    <s v=" "/>
    <x v="11"/>
    <s v="AA"/>
    <s v=" "/>
    <s v=" "/>
    <s v="00533"/>
    <s v="00533"/>
    <n v="1939881"/>
    <s v="O"/>
    <s v=" "/>
    <s v=" "/>
    <s v=" "/>
    <s v="00104288"/>
    <m/>
  </r>
  <r>
    <x v="6"/>
    <m/>
    <s v="BUCARAMANGA"/>
    <n v="-464000"/>
    <x v="6"/>
    <x v="110"/>
    <d v="2025-11-18T00:00:00"/>
    <s v=" "/>
    <s v=" "/>
    <n v="1"/>
    <s v="SERVHIMEC SAS"/>
    <s v=" "/>
    <m/>
    <n v="-464000"/>
    <s v=" "/>
    <x v="18"/>
    <s v="AA"/>
    <s v=" "/>
    <s v=" "/>
    <s v="00533"/>
    <s v="00533"/>
    <n v="1939944"/>
    <s v="O"/>
    <s v=" "/>
    <m/>
    <m/>
    <s v="00104350"/>
    <m/>
  </r>
  <r>
    <x v="6"/>
    <m/>
    <s v="BUCARAMANGA"/>
    <n v="-31937000"/>
    <x v="6"/>
    <x v="110"/>
    <d v="2025-11-18T00:00:00"/>
    <s v=" "/>
    <s v=" "/>
    <n v="3"/>
    <s v="SERVHIMEC SAS"/>
    <s v=" "/>
    <m/>
    <n v="-31937000"/>
    <s v=" "/>
    <x v="18"/>
    <s v="AA"/>
    <s v=" "/>
    <s v=" "/>
    <s v="00533"/>
    <s v="00533"/>
    <n v="1939944"/>
    <s v="O"/>
    <s v=" "/>
    <m/>
    <m/>
    <s v="00104350"/>
    <m/>
  </r>
  <r>
    <x v="7"/>
    <n v="466464"/>
    <s v="COMPUTADOR PORTATIL 14&quot;"/>
    <n v="310498472.89999998"/>
    <x v="6"/>
    <x v="111"/>
    <d v="2025-11-21T00:00:00"/>
    <s v=" "/>
    <s v=" "/>
    <n v="1"/>
    <s v="SUMIMAS S A S"/>
    <s v=" "/>
    <m/>
    <n v="110"/>
    <s v=" "/>
    <x v="19"/>
    <s v="AA"/>
    <s v=" "/>
    <s v=" "/>
    <s v="00598"/>
    <s v="00598"/>
    <n v="1941569"/>
    <s v="O"/>
    <s v=" "/>
    <s v=" "/>
    <s v=" "/>
    <s v="00104551"/>
    <n v="82992.800000000003"/>
  </r>
  <r>
    <x v="7"/>
    <n v="466464"/>
    <s v="WORKSTATION PORTATIL"/>
    <n v="182727218.40000001"/>
    <x v="6"/>
    <x v="111"/>
    <d v="2025-11-21T00:00:00"/>
    <s v=" "/>
    <s v=" "/>
    <n v="3"/>
    <s v="SUMIMAS S A S"/>
    <s v=" "/>
    <m/>
    <n v="16"/>
    <s v=" "/>
    <x v="19"/>
    <s v="AA"/>
    <s v=" "/>
    <s v=" "/>
    <s v="00598"/>
    <s v="00598"/>
    <n v="1941569"/>
    <s v="O"/>
    <s v=" "/>
    <s v=" "/>
    <s v=" "/>
    <s v="00104551"/>
    <n v="48840.959999999999"/>
  </r>
  <r>
    <x v="3"/>
    <m/>
    <s v="TRANSPORTES Y TALLERES"/>
    <n v="5081100"/>
    <x v="6"/>
    <x v="112"/>
    <d v="2025-11-23T00:00:00"/>
    <s v=" "/>
    <s v=" "/>
    <n v="5"/>
    <s v="GUERRERO ORTEGA FRANCISCO IGNA"/>
    <s v=" "/>
    <m/>
    <n v="1"/>
    <s v=" "/>
    <x v="18"/>
    <s v="AA"/>
    <s v=" "/>
    <s v=" "/>
    <s v="00533"/>
    <s v="00533"/>
    <n v="1942106"/>
    <s v="O"/>
    <s v=" "/>
    <m/>
    <m/>
    <s v="00104600"/>
    <m/>
  </r>
  <r>
    <x v="3"/>
    <m/>
    <s v="TRANSPORTES Y TALLERES"/>
    <n v="2725911.8"/>
    <x v="6"/>
    <x v="112"/>
    <d v="2025-11-23T00:00:00"/>
    <s v=" "/>
    <s v=" "/>
    <n v="7"/>
    <s v="GUERRERO ORTEGA FRANCISCO IGNA"/>
    <s v=" "/>
    <m/>
    <n v="1"/>
    <s v=" "/>
    <x v="18"/>
    <s v="AA"/>
    <s v=" "/>
    <s v=" "/>
    <s v="00533"/>
    <s v="00533"/>
    <n v="1942106"/>
    <s v="O"/>
    <s v=" "/>
    <m/>
    <m/>
    <s v="00104600"/>
    <m/>
  </r>
  <r>
    <x v="3"/>
    <n v="468342"/>
    <s v="CUCUTA"/>
    <n v="100377687"/>
    <x v="6"/>
    <x v="113"/>
    <d v="2025-11-25T00:00:00"/>
    <s v=" "/>
    <s v=" "/>
    <n v="1"/>
    <s v="SEGUROS GENERALES SURAMERICANA"/>
    <s v=" "/>
    <m/>
    <n v="100377687"/>
    <s v=" "/>
    <x v="11"/>
    <s v="AA"/>
    <s v=" "/>
    <s v=" "/>
    <s v="00533"/>
    <s v="00533"/>
    <n v="1942825"/>
    <s v="O"/>
    <s v=" "/>
    <s v=" "/>
    <s v=" "/>
    <s v="00104692"/>
    <m/>
  </r>
  <r>
    <x v="3"/>
    <n v="468342"/>
    <s v="CUCUTA"/>
    <n v="-100377687"/>
    <x v="6"/>
    <x v="114"/>
    <d v="2025-11-25T00:00:00"/>
    <s v=" "/>
    <s v=" "/>
    <n v="1"/>
    <s v="SEGUROS GENERALES SURAMERICANA"/>
    <s v=" "/>
    <m/>
    <n v="-100377687"/>
    <s v=" "/>
    <x v="11"/>
    <s v="AA"/>
    <s v=" "/>
    <s v=" "/>
    <s v="00533"/>
    <s v="00533"/>
    <n v="1943264"/>
    <s v="O"/>
    <s v=" "/>
    <s v=" "/>
    <s v=" "/>
    <s v="00104692"/>
    <m/>
  </r>
  <r>
    <x v="3"/>
    <n v="468342"/>
    <s v="OP Terrestre"/>
    <n v="100377687"/>
    <x v="6"/>
    <x v="115"/>
    <d v="2025-11-26T00:00:00"/>
    <s v=" "/>
    <s v=" "/>
    <n v="1"/>
    <s v="CUCUTA MOTOR'S S.A.S."/>
    <s v=" "/>
    <m/>
    <n v="100377687"/>
    <s v=" "/>
    <x v="11"/>
    <s v="AA"/>
    <s v=" "/>
    <s v=" "/>
    <s v="00533"/>
    <s v="00533"/>
    <n v="1943301"/>
    <s v="O"/>
    <s v=" "/>
    <s v=" "/>
    <s v=" "/>
    <s v="00104706"/>
    <m/>
  </r>
  <r>
    <x v="2"/>
    <n v="468342"/>
    <s v="Indemnización activo 20611 hur"/>
    <n v="115522313"/>
    <x v="6"/>
    <x v="116"/>
    <d v="2025-11-27T00:00:00"/>
    <s v=" "/>
    <s v=" "/>
    <n v="1"/>
    <s v="SEGUROS GENERALES SURAMERICANA"/>
    <s v=" "/>
    <m/>
    <n v="1"/>
    <s v=" "/>
    <x v="11"/>
    <s v="AA"/>
    <s v=" "/>
    <s v=" "/>
    <s v="00533"/>
    <s v="00533"/>
    <n v="1943984"/>
    <s v="O"/>
    <s v=" "/>
    <s v=" "/>
    <s v=" "/>
    <s v="00104729"/>
    <m/>
  </r>
  <r>
    <x v="0"/>
    <n v="420506"/>
    <s v="OCAÑA"/>
    <n v="5421744"/>
    <x v="6"/>
    <x v="117"/>
    <d v="2025-11-28T00:00:00"/>
    <s v=" "/>
    <s v=" "/>
    <n v="5"/>
    <s v="ENECON SOCIEDAD POR ACCIONES S"/>
    <s v=" "/>
    <m/>
    <n v="5421744"/>
    <s v=" "/>
    <x v="20"/>
    <s v="AA"/>
    <s v=" "/>
    <s v=" "/>
    <s v="00533"/>
    <s v="00533"/>
    <n v="1944383"/>
    <s v="O"/>
    <s v=" "/>
    <s v=" "/>
    <s v=" "/>
    <s v="00104756"/>
    <m/>
  </r>
  <r>
    <x v="0"/>
    <n v="420506"/>
    <s v="HACARI"/>
    <n v="54787383"/>
    <x v="6"/>
    <x v="117"/>
    <d v="2025-11-28T00:00:00"/>
    <s v=" "/>
    <s v=" "/>
    <n v="7"/>
    <s v="ENECON SOCIEDAD POR ACCIONES S"/>
    <s v=" "/>
    <m/>
    <n v="54787383"/>
    <s v=" "/>
    <x v="20"/>
    <s v="AA"/>
    <s v=" "/>
    <s v=" "/>
    <s v="00533"/>
    <s v="00533"/>
    <n v="1944383"/>
    <s v="O"/>
    <s v=" "/>
    <s v=" "/>
    <s v=" "/>
    <s v="00104756"/>
    <m/>
  </r>
  <r>
    <x v="0"/>
    <n v="462932"/>
    <s v="OCAÑA"/>
    <n v="14417965"/>
    <x v="6"/>
    <x v="118"/>
    <d v="2025-11-28T00:00:00"/>
    <s v=" "/>
    <s v=" "/>
    <n v="5"/>
    <s v="ENECON SOCIEDAD POR ACCIONES S"/>
    <s v=" "/>
    <m/>
    <n v="14417965"/>
    <s v=" "/>
    <x v="21"/>
    <s v="AA"/>
    <s v=" "/>
    <s v=" "/>
    <s v="00533"/>
    <s v="00533"/>
    <n v="1944383"/>
    <s v="O"/>
    <s v=" "/>
    <s v=" "/>
    <s v=" "/>
    <s v="00104757"/>
    <m/>
  </r>
  <r>
    <x v="0"/>
    <n v="462932"/>
    <s v="HACARI"/>
    <n v="2057669"/>
    <x v="6"/>
    <x v="118"/>
    <d v="2025-11-28T00:00:00"/>
    <s v=" "/>
    <s v=" "/>
    <n v="7"/>
    <s v="ENECON SOCIEDAD POR ACCIONES S"/>
    <s v=" "/>
    <m/>
    <n v="2057669"/>
    <s v=" "/>
    <x v="21"/>
    <s v="AA"/>
    <s v=" "/>
    <s v=" "/>
    <s v="00533"/>
    <s v="00533"/>
    <n v="1944383"/>
    <s v="O"/>
    <s v=" "/>
    <s v=" "/>
    <s v=" "/>
    <s v="00104757"/>
    <m/>
  </r>
  <r>
    <x v="0"/>
    <n v="420502"/>
    <s v="EL CARMEN"/>
    <n v="14366802"/>
    <x v="6"/>
    <x v="119"/>
    <d v="2025-11-28T00:00:00"/>
    <s v=" "/>
    <s v=" "/>
    <n v="11"/>
    <s v="ENECON SOCIEDAD POR ACCIONES S"/>
    <s v=" "/>
    <m/>
    <n v="14366802"/>
    <s v=" "/>
    <x v="22"/>
    <s v="AA"/>
    <s v=" "/>
    <s v=" "/>
    <s v="00533"/>
    <s v="00533"/>
    <n v="1944383"/>
    <s v="O"/>
    <s v=" "/>
    <s v=" "/>
    <s v=" "/>
    <s v="00104758"/>
    <m/>
  </r>
  <r>
    <x v="0"/>
    <n v="420502"/>
    <s v="SAN CALIXTO"/>
    <n v="99720882"/>
    <x v="6"/>
    <x v="119"/>
    <d v="2025-11-28T00:00:00"/>
    <s v=" "/>
    <s v=" "/>
    <n v="13"/>
    <s v="ENECON SOCIEDAD POR ACCIONES S"/>
    <s v=" "/>
    <m/>
    <n v="99720882"/>
    <s v=" "/>
    <x v="22"/>
    <s v="AA"/>
    <s v=" "/>
    <s v=" "/>
    <s v="00533"/>
    <s v="00533"/>
    <n v="1944383"/>
    <s v="O"/>
    <s v=" "/>
    <s v=" "/>
    <s v=" "/>
    <s v="00104758"/>
    <m/>
  </r>
  <r>
    <x v="0"/>
    <n v="420502"/>
    <s v="OCAÑA"/>
    <n v="304914"/>
    <x v="6"/>
    <x v="119"/>
    <d v="2025-11-28T00:00:00"/>
    <s v=" "/>
    <s v=" "/>
    <n v="15"/>
    <s v="ENECON SOCIEDAD POR ACCIONES S"/>
    <s v=" "/>
    <m/>
    <n v="304914"/>
    <s v=" "/>
    <x v="22"/>
    <s v="AA"/>
    <s v=" "/>
    <s v=" "/>
    <s v="00533"/>
    <s v="00533"/>
    <n v="1944383"/>
    <s v="O"/>
    <s v=" "/>
    <s v=" "/>
    <s v=" "/>
    <s v="00104758"/>
    <m/>
  </r>
  <r>
    <x v="0"/>
    <n v="420502"/>
    <s v="AGUACHICA"/>
    <n v="23476862"/>
    <x v="6"/>
    <x v="119"/>
    <d v="2025-11-28T00:00:00"/>
    <s v=" "/>
    <s v=" "/>
    <n v="17"/>
    <s v="ENECON SOCIEDAD POR ACCIONES S"/>
    <s v=" "/>
    <m/>
    <n v="23476862"/>
    <s v=" "/>
    <x v="22"/>
    <s v="AA"/>
    <s v=" "/>
    <s v=" "/>
    <s v="00533"/>
    <s v="00533"/>
    <n v="1944383"/>
    <s v="O"/>
    <s v=" "/>
    <s v=" "/>
    <s v=" "/>
    <s v="00104758"/>
    <m/>
  </r>
  <r>
    <x v="0"/>
    <n v="420502"/>
    <s v="LA PLAYA"/>
    <n v="127182448"/>
    <x v="6"/>
    <x v="119"/>
    <d v="2025-11-28T00:00:00"/>
    <s v=" "/>
    <s v=" "/>
    <n v="19"/>
    <s v="ENECON SOCIEDAD POR ACCIONES S"/>
    <s v=" "/>
    <m/>
    <n v="127182448"/>
    <s v=" "/>
    <x v="22"/>
    <s v="AA"/>
    <s v=" "/>
    <s v=" "/>
    <s v="00533"/>
    <s v="00533"/>
    <n v="1944383"/>
    <s v="O"/>
    <s v=" "/>
    <s v=" "/>
    <s v=" "/>
    <s v="00104758"/>
    <m/>
  </r>
  <r>
    <x v="0"/>
    <n v="420504"/>
    <s v="OCAÑA"/>
    <n v="627764"/>
    <x v="6"/>
    <x v="120"/>
    <d v="2025-11-28T00:00:00"/>
    <s v=" "/>
    <s v=" "/>
    <n v="5"/>
    <s v="ENECON SOCIEDAD POR ACCIONES S"/>
    <s v=" "/>
    <m/>
    <n v="627764"/>
    <s v=" "/>
    <x v="23"/>
    <s v="AA"/>
    <s v=" "/>
    <s v=" "/>
    <s v="00533"/>
    <s v="00533"/>
    <n v="1944383"/>
    <s v="O"/>
    <s v=" "/>
    <s v=" "/>
    <s v=" "/>
    <s v="00104759"/>
    <m/>
  </r>
  <r>
    <x v="0"/>
    <n v="420504"/>
    <s v="LA PLAYA"/>
    <n v="15132033"/>
    <x v="6"/>
    <x v="120"/>
    <d v="2025-11-28T00:00:00"/>
    <s v=" "/>
    <s v=" "/>
    <n v="7"/>
    <s v="ENECON SOCIEDAD POR ACCIONES S"/>
    <s v=" "/>
    <m/>
    <n v="15132033"/>
    <s v=" "/>
    <x v="23"/>
    <s v="AA"/>
    <s v=" "/>
    <s v=" "/>
    <s v="00533"/>
    <s v="00533"/>
    <n v="1944383"/>
    <s v="O"/>
    <s v=" "/>
    <s v=" "/>
    <s v=" "/>
    <s v="00104759"/>
    <m/>
  </r>
  <r>
    <x v="0"/>
    <n v="420507"/>
    <s v="HACARI"/>
    <n v="3906267"/>
    <x v="6"/>
    <x v="121"/>
    <d v="2025-11-28T00:00:00"/>
    <s v=" "/>
    <s v=" "/>
    <n v="5"/>
    <s v="ENECON SOCIEDAD POR ACCIONES S"/>
    <s v=" "/>
    <m/>
    <n v="3906267"/>
    <s v=" "/>
    <x v="24"/>
    <s v="AA"/>
    <s v=" "/>
    <s v=" "/>
    <s v="00533"/>
    <s v="00533"/>
    <n v="1944383"/>
    <s v="O"/>
    <s v=" "/>
    <s v=" "/>
    <s v=" "/>
    <s v="00104760"/>
    <m/>
  </r>
  <r>
    <x v="0"/>
    <n v="420507"/>
    <s v="OCAÑA"/>
    <n v="78408"/>
    <x v="6"/>
    <x v="121"/>
    <d v="2025-11-28T00:00:00"/>
    <s v=" "/>
    <s v=" "/>
    <n v="7"/>
    <s v="ENECON SOCIEDAD POR ACCIONES S"/>
    <s v=" "/>
    <m/>
    <n v="78408"/>
    <s v=" "/>
    <x v="24"/>
    <s v="AA"/>
    <s v=" "/>
    <s v=" "/>
    <s v="00533"/>
    <s v="00533"/>
    <n v="1944383"/>
    <s v="O"/>
    <s v=" "/>
    <s v=" "/>
    <s v=" "/>
    <s v="00104760"/>
    <m/>
  </r>
  <r>
    <x v="0"/>
    <n v="462932"/>
    <s v="HACARI"/>
    <n v="40994"/>
    <x v="6"/>
    <x v="122"/>
    <d v="2025-11-28T00:00:00"/>
    <s v=" "/>
    <s v=" "/>
    <n v="1"/>
    <s v="ENECON SOCIEDAD POR ACCIONES S"/>
    <s v=" "/>
    <m/>
    <n v="40994"/>
    <s v=" "/>
    <x v="25"/>
    <s v="AA"/>
    <s v=" "/>
    <s v=" "/>
    <s v="00533"/>
    <s v="00533"/>
    <n v="1944383"/>
    <s v="O"/>
    <s v=" "/>
    <s v=" "/>
    <s v=" "/>
    <s v="00104761"/>
    <m/>
  </r>
  <r>
    <x v="0"/>
    <n v="420503"/>
    <s v="LA PLAYA"/>
    <n v="17006252"/>
    <x v="6"/>
    <x v="123"/>
    <d v="2025-11-28T00:00:00"/>
    <s v=" "/>
    <s v=" "/>
    <n v="7"/>
    <s v="ENECON SOCIEDAD POR ACCIONES S"/>
    <s v=" "/>
    <m/>
    <n v="17006252"/>
    <s v=" "/>
    <x v="26"/>
    <s v="AA"/>
    <s v=" "/>
    <s v=" "/>
    <s v="00533"/>
    <s v="00533"/>
    <n v="1944383"/>
    <s v="O"/>
    <s v=" "/>
    <s v=" "/>
    <s v=" "/>
    <s v="00104762"/>
    <m/>
  </r>
  <r>
    <x v="0"/>
    <n v="420503"/>
    <s v="SAN CALIXTO"/>
    <n v="49431937"/>
    <x v="6"/>
    <x v="123"/>
    <d v="2025-11-28T00:00:00"/>
    <s v=" "/>
    <s v=" "/>
    <n v="9"/>
    <s v="ENECON SOCIEDAD POR ACCIONES S"/>
    <s v=" "/>
    <m/>
    <n v="49431937"/>
    <s v=" "/>
    <x v="26"/>
    <s v="AA"/>
    <s v=" "/>
    <s v=" "/>
    <s v="00533"/>
    <s v="00533"/>
    <n v="1944383"/>
    <s v="O"/>
    <s v=" "/>
    <s v=" "/>
    <s v=" "/>
    <s v="00104762"/>
    <m/>
  </r>
  <r>
    <x v="0"/>
    <n v="420503"/>
    <s v="AGUACHICA"/>
    <n v="2172670"/>
    <x v="6"/>
    <x v="123"/>
    <d v="2025-11-28T00:00:00"/>
    <s v=" "/>
    <s v=" "/>
    <n v="11"/>
    <s v="ENECON SOCIEDAD POR ACCIONES S"/>
    <s v=" "/>
    <m/>
    <n v="2172670"/>
    <s v=" "/>
    <x v="26"/>
    <s v="AA"/>
    <s v=" "/>
    <s v=" "/>
    <s v="00533"/>
    <s v="00533"/>
    <n v="1944383"/>
    <s v="O"/>
    <s v=" "/>
    <s v=" "/>
    <s v=" "/>
    <s v="00104762"/>
    <m/>
  </r>
  <r>
    <x v="0"/>
    <n v="420504"/>
    <s v="LA PLAYA"/>
    <n v="258652"/>
    <x v="6"/>
    <x v="124"/>
    <d v="2025-11-28T00:00:00"/>
    <s v=" "/>
    <s v=" "/>
    <n v="7"/>
    <s v="ENECON SOCIEDAD POR ACCIONES S"/>
    <s v=" "/>
    <m/>
    <n v="258652"/>
    <s v=" "/>
    <x v="27"/>
    <s v="AA"/>
    <s v=" "/>
    <s v=" "/>
    <s v="00533"/>
    <s v="00533"/>
    <n v="1944383"/>
    <s v="O"/>
    <s v=" "/>
    <s v=" "/>
    <s v=" "/>
    <s v="00104763"/>
    <m/>
  </r>
  <r>
    <x v="0"/>
    <n v="420504"/>
    <s v="SAN CALIXTO"/>
    <n v="21828"/>
    <x v="6"/>
    <x v="124"/>
    <d v="2025-11-28T00:00:00"/>
    <s v=" "/>
    <s v=" "/>
    <n v="9"/>
    <s v="ENECON SOCIEDAD POR ACCIONES S"/>
    <s v=" "/>
    <m/>
    <n v="21828"/>
    <s v=" "/>
    <x v="27"/>
    <s v="AA"/>
    <s v=" "/>
    <s v=" "/>
    <s v="00533"/>
    <s v="00533"/>
    <n v="1944383"/>
    <s v="O"/>
    <s v=" "/>
    <s v=" "/>
    <s v=" "/>
    <s v="00104763"/>
    <m/>
  </r>
  <r>
    <x v="0"/>
    <n v="420504"/>
    <s v="AGUACHICA"/>
    <n v="43915"/>
    <x v="6"/>
    <x v="124"/>
    <d v="2025-11-28T00:00:00"/>
    <s v=" "/>
    <s v=" "/>
    <n v="11"/>
    <s v="ENECON SOCIEDAD POR ACCIONES S"/>
    <s v=" "/>
    <m/>
    <n v="43915"/>
    <s v=" "/>
    <x v="27"/>
    <s v="AA"/>
    <s v=" "/>
    <s v=" "/>
    <s v="00533"/>
    <s v="00533"/>
    <n v="1944383"/>
    <s v="O"/>
    <s v=" "/>
    <s v=" "/>
    <s v=" "/>
    <s v="00104763"/>
    <m/>
  </r>
  <r>
    <x v="6"/>
    <n v="464592"/>
    <s v="TRANSPORTES Y TALLERES"/>
    <n v="978545.15"/>
    <x v="6"/>
    <x v="125"/>
    <d v="2025-11-28T00:00:00"/>
    <s v=" "/>
    <s v=" "/>
    <n v="19"/>
    <s v="TRANSPORTE INTEGRAL NOR ORIENT"/>
    <s v=" "/>
    <m/>
    <n v="1"/>
    <s v=" "/>
    <x v="28"/>
    <s v="AA"/>
    <s v=" "/>
    <s v=" "/>
    <s v="00533"/>
    <s v="00533"/>
    <n v="1944417"/>
    <s v="O"/>
    <s v=" "/>
    <s v=" "/>
    <s v=" "/>
    <s v="00104754"/>
    <m/>
  </r>
  <r>
    <x v="6"/>
    <n v="311316"/>
    <s v="TRANSPORTES Y TALLERES"/>
    <n v="5861861.8200000003"/>
    <x v="6"/>
    <x v="125"/>
    <d v="2025-11-28T00:00:00"/>
    <s v=" "/>
    <s v=" "/>
    <n v="21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6"/>
    <n v="311316"/>
    <s v="TRANSPORTES Y TALLERES"/>
    <n v="4182701.5"/>
    <x v="6"/>
    <x v="125"/>
    <d v="2025-11-28T00:00:00"/>
    <s v=" "/>
    <s v=" "/>
    <n v="23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6"/>
    <n v="311316"/>
    <s v="TRANSPORTES Y TALLERES"/>
    <n v="2583156.54"/>
    <x v="6"/>
    <x v="125"/>
    <d v="2025-11-28T00:00:00"/>
    <s v=" "/>
    <s v=" "/>
    <n v="25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6"/>
    <n v="311317"/>
    <s v="TRANSPORTES Y TALLERES"/>
    <n v="3340950.02"/>
    <x v="6"/>
    <x v="125"/>
    <d v="2025-11-28T00:00:00"/>
    <s v=" "/>
    <s v=" "/>
    <n v="27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6"/>
    <n v="311317"/>
    <s v="TRANSPORTES Y TALLERES"/>
    <n v="9170241.9199999999"/>
    <x v="6"/>
    <x v="125"/>
    <d v="2025-11-28T00:00:00"/>
    <s v=" "/>
    <s v=" "/>
    <n v="29"/>
    <s v="TRANSPORTE INTEGRAL NOR ORIENT"/>
    <s v=" "/>
    <m/>
    <n v="1"/>
    <s v=" "/>
    <x v="29"/>
    <s v="AA"/>
    <s v=" "/>
    <s v=" "/>
    <s v="00533"/>
    <s v="00533"/>
    <n v="1944417"/>
    <s v="O"/>
    <s v=" "/>
    <s v=" "/>
    <s v=" "/>
    <s v="00104754"/>
    <m/>
  </r>
  <r>
    <x v="7"/>
    <n v="466464"/>
    <s v="COMPUTADOR PORTATIL 14&quot;"/>
    <n v="58994709.850000001"/>
    <x v="7"/>
    <x v="126"/>
    <d v="2025-11-21T00:00:00"/>
    <s v=" "/>
    <s v=" "/>
    <n v="2"/>
    <s v="SUMIMAS S A S"/>
    <s v=" "/>
    <m/>
    <m/>
    <s v=" "/>
    <x v="19"/>
    <s v="AA"/>
    <s v=" "/>
    <s v=" "/>
    <s v="00598"/>
    <s v="00598"/>
    <n v="1944480"/>
    <s v="V"/>
    <s v=" "/>
    <s v=" "/>
    <s v=" "/>
    <s v="00104551"/>
    <n v="15768.63"/>
  </r>
  <r>
    <x v="7"/>
    <n v="466464"/>
    <s v="WORKSTATION PORTATIL"/>
    <n v="34718171.5"/>
    <x v="7"/>
    <x v="126"/>
    <d v="2025-11-21T00:00:00"/>
    <s v=" "/>
    <s v=" "/>
    <n v="4"/>
    <s v="SUMIMAS S A S"/>
    <s v=" "/>
    <m/>
    <m/>
    <s v=" "/>
    <x v="19"/>
    <s v="AA"/>
    <s v=" "/>
    <s v=" "/>
    <s v="00598"/>
    <s v="00598"/>
    <n v="1944480"/>
    <s v="V"/>
    <s v=" "/>
    <s v=" "/>
    <s v=" "/>
    <s v="00104551"/>
    <n v="9279.7800000000007"/>
  </r>
  <r>
    <x v="3"/>
    <m/>
    <s v="TRANSPORTES Y TALLERES"/>
    <n v="1963650"/>
    <x v="7"/>
    <x v="127"/>
    <d v="2025-11-06T00:00:00"/>
    <s v=" "/>
    <s v=" "/>
    <n v="2"/>
    <s v="GUERRERO ORTEGA FRANCISCO IGNA"/>
    <s v=" "/>
    <m/>
    <m/>
    <s v=" "/>
    <x v="18"/>
    <s v="AA"/>
    <s v=" "/>
    <s v=" "/>
    <s v="00533"/>
    <s v="00533"/>
    <n v="1939667"/>
    <s v="V"/>
    <s v=" "/>
    <m/>
    <m/>
    <s v="00103860"/>
    <m/>
  </r>
  <r>
    <x v="8"/>
    <m/>
    <s v="CONS. TECNICA/SERV. INGENIERIA"/>
    <n v="62539.26"/>
    <x v="7"/>
    <x v="128"/>
    <d v="2025-11-25T00:00:00"/>
    <s v=" "/>
    <s v=" "/>
    <n v="2"/>
    <s v="UNION ELECTRICA SA"/>
    <s v=" "/>
    <m/>
    <m/>
    <s v=" "/>
    <x v="30"/>
    <s v="AA"/>
    <s v=" "/>
    <s v=" "/>
    <s v="00533"/>
    <s v="00533"/>
    <n v="1944480"/>
    <s v="V"/>
    <s v=" "/>
    <m/>
    <m/>
    <s v="00104506"/>
    <m/>
  </r>
  <r>
    <x v="8"/>
    <m/>
    <s v="CONS. TECNICA/SERV. INGENIERIA"/>
    <n v="75977.86"/>
    <x v="7"/>
    <x v="128"/>
    <d v="2025-11-25T00:00:00"/>
    <s v=" "/>
    <s v=" "/>
    <n v="4"/>
    <s v="UNION ELECTRICA SA"/>
    <s v=" "/>
    <m/>
    <m/>
    <s v=" "/>
    <x v="30"/>
    <s v="AA"/>
    <s v=" "/>
    <s v=" "/>
    <s v="00533"/>
    <s v="00533"/>
    <n v="1944480"/>
    <s v="V"/>
    <s v=" "/>
    <m/>
    <m/>
    <s v="00104506"/>
    <m/>
  </r>
  <r>
    <x v="8"/>
    <m/>
    <s v="CONS. TECNICA/SERV. INGENIERIA"/>
    <n v="74445.14"/>
    <x v="7"/>
    <x v="128"/>
    <d v="2025-11-25T00:00:00"/>
    <s v=" "/>
    <s v=" "/>
    <n v="6"/>
    <s v="UNION ELECTRICA SA"/>
    <s v=" "/>
    <m/>
    <m/>
    <s v=" "/>
    <x v="30"/>
    <s v="AA"/>
    <s v=" "/>
    <s v=" "/>
    <s v="00533"/>
    <s v="00533"/>
    <n v="1944480"/>
    <s v="V"/>
    <s v=" "/>
    <m/>
    <m/>
    <s v="00104506"/>
    <m/>
  </r>
  <r>
    <x v="8"/>
    <m/>
    <s v="CONS. TECNICA/SERV. INGENIERIA"/>
    <n v="396848.11"/>
    <x v="7"/>
    <x v="128"/>
    <d v="2025-11-25T00:00:00"/>
    <s v=" "/>
    <s v=" "/>
    <n v="8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0768.98"/>
    <x v="7"/>
    <x v="128"/>
    <d v="2025-11-25T00:00:00"/>
    <s v=" "/>
    <s v=" "/>
    <n v="10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0367.94"/>
    <x v="7"/>
    <x v="128"/>
    <d v="2025-11-25T00:00:00"/>
    <s v=" "/>
    <s v=" "/>
    <n v="12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03641.87"/>
    <x v="7"/>
    <x v="128"/>
    <d v="2025-11-25T00:00:00"/>
    <s v=" "/>
    <s v=" "/>
    <n v="14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8302.150000000001"/>
    <x v="7"/>
    <x v="128"/>
    <d v="2025-11-25T00:00:00"/>
    <s v=" "/>
    <s v=" "/>
    <n v="16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2857.93"/>
    <x v="7"/>
    <x v="128"/>
    <d v="2025-11-25T00:00:00"/>
    <s v=" "/>
    <s v=" "/>
    <n v="18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409.74"/>
    <x v="7"/>
    <x v="128"/>
    <d v="2025-11-25T00:00:00"/>
    <s v=" "/>
    <s v=" "/>
    <n v="20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0763.74"/>
    <x v="7"/>
    <x v="128"/>
    <d v="2025-11-25T00:00:00"/>
    <s v=" "/>
    <s v=" "/>
    <n v="22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45610.57"/>
    <x v="7"/>
    <x v="128"/>
    <d v="2025-11-25T00:00:00"/>
    <s v=" "/>
    <s v=" "/>
    <n v="24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21041.92"/>
    <x v="7"/>
    <x v="128"/>
    <d v="2025-11-25T00:00:00"/>
    <s v=" "/>
    <s v=" "/>
    <n v="26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10805.69"/>
    <x v="7"/>
    <x v="128"/>
    <d v="2025-11-25T00:00:00"/>
    <s v=" "/>
    <s v=" "/>
    <n v="28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21912.78"/>
    <x v="7"/>
    <x v="128"/>
    <d v="2025-11-25T00:00:00"/>
    <s v=" "/>
    <s v=" "/>
    <n v="30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25375.97"/>
    <x v="7"/>
    <x v="128"/>
    <d v="2025-11-25T00:00:00"/>
    <s v=" "/>
    <s v=" "/>
    <n v="32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65383.18"/>
    <x v="7"/>
    <x v="128"/>
    <d v="2025-11-25T00:00:00"/>
    <s v=" "/>
    <s v=" "/>
    <n v="34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110805.69"/>
    <x v="7"/>
    <x v="128"/>
    <d v="2025-11-25T00:00:00"/>
    <s v=" "/>
    <s v=" "/>
    <n v="36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28876.3"/>
    <x v="7"/>
    <x v="128"/>
    <d v="2025-11-25T00:00:00"/>
    <s v=" "/>
    <s v=" "/>
    <n v="38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6263.88"/>
    <x v="7"/>
    <x v="128"/>
    <d v="2025-11-25T00:00:00"/>
    <s v=" "/>
    <s v=" "/>
    <n v="40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6592.62"/>
    <x v="7"/>
    <x v="128"/>
    <d v="2025-11-25T00:00:00"/>
    <s v=" "/>
    <s v=" "/>
    <n v="42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7234.36"/>
    <x v="7"/>
    <x v="128"/>
    <d v="2025-11-25T00:00:00"/>
    <s v=" "/>
    <s v=" "/>
    <n v="44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MANTENIMIENTO DE SUBESTACIONES"/>
    <n v="57977.57"/>
    <x v="7"/>
    <x v="128"/>
    <d v="2025-11-25T00:00:00"/>
    <s v=" "/>
    <s v=" "/>
    <n v="46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397559.75"/>
    <x v="7"/>
    <x v="128"/>
    <d v="2025-11-25T00:00:00"/>
    <s v=" "/>
    <s v=" "/>
    <n v="48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2087.96"/>
    <x v="7"/>
    <x v="128"/>
    <d v="2025-11-25T00:00:00"/>
    <s v=" "/>
    <s v=" "/>
    <n v="50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8"/>
    <m/>
    <s v="CONS. TECNICA/SERV. INGENIERIA"/>
    <n v="298169.81"/>
    <x v="7"/>
    <x v="128"/>
    <d v="2025-11-25T00:00:00"/>
    <s v=" "/>
    <s v=" "/>
    <n v="52"/>
    <s v="UNION ELECTRICA SA"/>
    <s v=" "/>
    <m/>
    <m/>
    <s v=" "/>
    <x v="31"/>
    <s v="AA"/>
    <s v=" "/>
    <s v=" "/>
    <s v="00533"/>
    <s v="00534"/>
    <n v="1944480"/>
    <s v="V"/>
    <s v=" "/>
    <m/>
    <m/>
    <s v="00104507"/>
    <m/>
  </r>
  <r>
    <x v="6"/>
    <m/>
    <s v="TRANSPORTES Y TALLERES"/>
    <n v="965409"/>
    <x v="7"/>
    <x v="129"/>
    <d v="2025-11-24T00:00:00"/>
    <s v=" "/>
    <s v=" "/>
    <n v="2"/>
    <s v="GUERRERO ORTEGA FRANCISCO IGNA"/>
    <s v=" "/>
    <m/>
    <m/>
    <s v=" "/>
    <x v="18"/>
    <s v="AA"/>
    <s v=" "/>
    <s v=" "/>
    <s v="00533"/>
    <s v="00533"/>
    <n v="1944480"/>
    <s v="V"/>
    <s v=" "/>
    <m/>
    <m/>
    <s v="00104600"/>
    <m/>
  </r>
  <r>
    <x v="6"/>
    <m/>
    <s v="TRANSPORTES Y TALLERES"/>
    <n v="517923.24"/>
    <x v="7"/>
    <x v="129"/>
    <d v="2025-11-24T00:00:00"/>
    <s v=" "/>
    <s v=" "/>
    <n v="4"/>
    <s v="GUERRERO ORTEGA FRANCISCO IGNA"/>
    <s v=" "/>
    <m/>
    <m/>
    <s v=" "/>
    <x v="18"/>
    <s v="AA"/>
    <s v=" "/>
    <s v=" "/>
    <s v="00533"/>
    <s v="00533"/>
    <n v="1944480"/>
    <s v="V"/>
    <s v=" "/>
    <m/>
    <m/>
    <s v="00104600"/>
    <m/>
  </r>
  <r>
    <x v="9"/>
    <m/>
    <s v="Indem daño activos año actu CP"/>
    <n v="-1441041.53"/>
    <x v="8"/>
    <x v="130"/>
    <d v="2025-11-05T00:00:00"/>
    <s v=" "/>
    <s v=" "/>
    <n v="1"/>
    <s v="SEGUROS GENERALES SURAMERICANA"/>
    <s v=" "/>
    <m/>
    <n v="-1"/>
    <s v=" "/>
    <x v="32"/>
    <s v="AA"/>
    <s v=" "/>
    <s v=" "/>
    <s v="00533"/>
    <s v="00533"/>
    <n v="1935475"/>
    <s v="IB"/>
    <s v=" "/>
    <m/>
    <m/>
    <s v=" "/>
    <m/>
  </r>
  <r>
    <x v="10"/>
    <m/>
    <s v="Indem daño activos año actu CP"/>
    <n v="-15000490.109999999"/>
    <x v="8"/>
    <x v="131"/>
    <d v="2025-11-24T00:00:00"/>
    <s v=" "/>
    <s v=" "/>
    <n v="1"/>
    <s v="SEGUROS GENERALES SURAMERICANA"/>
    <s v=" "/>
    <m/>
    <n v="-1"/>
    <s v=" "/>
    <x v="33"/>
    <s v="AA"/>
    <s v=" "/>
    <s v=" "/>
    <s v="00533"/>
    <s v="00533"/>
    <n v="1942462"/>
    <s v="IB"/>
    <s v=" "/>
    <m/>
    <m/>
    <s v=" "/>
    <m/>
  </r>
  <r>
    <x v="10"/>
    <m/>
    <s v="Dif. Siniestro/baja activo CP"/>
    <n v="-100521822.89"/>
    <x v="8"/>
    <x v="132"/>
    <d v="2025-11-24T00:00:00"/>
    <s v=" "/>
    <s v=" "/>
    <n v="1"/>
    <s v="SEGUROS GENERALES SURAMERICANA"/>
    <s v=" "/>
    <m/>
    <n v="-1"/>
    <s v=" "/>
    <x v="10"/>
    <s v="AA"/>
    <s v=" "/>
    <s v=" "/>
    <s v="00533"/>
    <s v="00533"/>
    <n v="1942462"/>
    <s v="IB"/>
    <s v=" "/>
    <m/>
    <m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C75FE-0FAC-41A9-9168-5375A5E71DFE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8" firstHeaderRow="1" firstDataRow="1" firstDataCol="1"/>
  <pivotFields count="28">
    <pivotField axis="axisRow" showAll="0">
      <items count="12">
        <item x="0"/>
        <item x="4"/>
        <item x="5"/>
        <item x="1"/>
        <item x="2"/>
        <item x="7"/>
        <item x="8"/>
        <item x="6"/>
        <item x="3"/>
        <item x="9"/>
        <item x="10"/>
        <item t="default"/>
      </items>
    </pivotField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134">
        <item x="97"/>
        <item x="98"/>
        <item x="99"/>
        <item x="100"/>
        <item x="101"/>
        <item x="102"/>
        <item x="96"/>
        <item x="95"/>
        <item x="12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27"/>
        <item x="128"/>
        <item x="129"/>
        <item x="0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03"/>
        <item x="104"/>
        <item x="130"/>
        <item x="131"/>
        <item x="132"/>
        <item t="default"/>
      </items>
    </pivotField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5">
        <item x="15"/>
        <item x="16"/>
        <item x="1"/>
        <item x="11"/>
        <item x="10"/>
        <item x="19"/>
        <item x="33"/>
        <item x="32"/>
        <item x="30"/>
        <item x="18"/>
        <item x="31"/>
        <item x="13"/>
        <item x="12"/>
        <item x="9"/>
        <item x="14"/>
        <item x="17"/>
        <item x="3"/>
        <item x="8"/>
        <item x="20"/>
        <item x="24"/>
        <item x="21"/>
        <item x="25"/>
        <item x="22"/>
        <item x="26"/>
        <item x="28"/>
        <item x="23"/>
        <item x="27"/>
        <item x="6"/>
        <item x="4"/>
        <item x="0"/>
        <item x="29"/>
        <item x="2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75">
    <i>
      <x/>
    </i>
    <i r="1">
      <x/>
    </i>
    <i r="2">
      <x v="2"/>
    </i>
    <i r="2">
      <x v="29"/>
    </i>
    <i r="1">
      <x v="1"/>
    </i>
    <i r="2">
      <x v="27"/>
    </i>
    <i r="2">
      <x v="33"/>
    </i>
    <i r="1">
      <x v="5"/>
    </i>
    <i r="2">
      <x v="15"/>
    </i>
    <i r="1">
      <x v="6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5"/>
    </i>
    <i r="2">
      <x v="26"/>
    </i>
    <i>
      <x v="1"/>
    </i>
    <i r="1">
      <x v="4"/>
    </i>
    <i r="2">
      <x/>
    </i>
    <i r="2">
      <x v="1"/>
    </i>
    <i r="2">
      <x v="11"/>
    </i>
    <i r="2">
      <x v="12"/>
    </i>
    <i r="2">
      <x v="14"/>
    </i>
    <i>
      <x v="2"/>
    </i>
    <i r="1">
      <x v="6"/>
    </i>
    <i r="2">
      <x v="2"/>
    </i>
    <i>
      <x v="3"/>
    </i>
    <i r="1">
      <x v="1"/>
    </i>
    <i r="2">
      <x v="16"/>
    </i>
    <i r="2">
      <x v="31"/>
    </i>
    <i r="2">
      <x v="32"/>
    </i>
    <i>
      <x v="4"/>
    </i>
    <i r="1">
      <x v="1"/>
    </i>
    <i r="2">
      <x v="17"/>
    </i>
    <i r="2">
      <x v="28"/>
    </i>
    <i r="1">
      <x v="6"/>
    </i>
    <i r="2">
      <x v="3"/>
    </i>
    <i>
      <x v="5"/>
    </i>
    <i r="1">
      <x v="6"/>
    </i>
    <i r="2">
      <x v="5"/>
    </i>
    <i r="1">
      <x v="7"/>
    </i>
    <i r="2">
      <x v="5"/>
    </i>
    <i>
      <x v="6"/>
    </i>
    <i r="1">
      <x v="7"/>
    </i>
    <i r="2">
      <x v="8"/>
    </i>
    <i r="2">
      <x v="10"/>
    </i>
    <i>
      <x v="7"/>
    </i>
    <i r="1">
      <x v="6"/>
    </i>
    <i r="2">
      <x v="3"/>
    </i>
    <i r="2">
      <x v="9"/>
    </i>
    <i r="2">
      <x v="24"/>
    </i>
    <i r="2">
      <x v="30"/>
    </i>
    <i r="1">
      <x v="7"/>
    </i>
    <i r="2">
      <x v="9"/>
    </i>
    <i>
      <x v="8"/>
    </i>
    <i r="1">
      <x v="2"/>
    </i>
    <i r="2">
      <x v="13"/>
    </i>
    <i r="1">
      <x v="3"/>
    </i>
    <i r="2">
      <x v="3"/>
    </i>
    <i r="2">
      <x v="4"/>
    </i>
    <i r="1">
      <x v="6"/>
    </i>
    <i r="2">
      <x v="3"/>
    </i>
    <i r="2">
      <x v="9"/>
    </i>
    <i r="1">
      <x v="7"/>
    </i>
    <i r="2">
      <x v="9"/>
    </i>
    <i>
      <x v="9"/>
    </i>
    <i r="1">
      <x v="8"/>
    </i>
    <i r="2">
      <x v="7"/>
    </i>
    <i>
      <x v="10"/>
    </i>
    <i r="1">
      <x v="8"/>
    </i>
    <i r="2">
      <x v="4"/>
    </i>
    <i r="2">
      <x v="6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28373-40E1-41DC-877B-8CDD8517A458}" name="Tabla1" displayName="Tabla1" ref="A1:AB406" totalsRowShown="0" headerRowDxfId="0" dataDxfId="1">
  <autoFilter ref="A1:AB406" xr:uid="{59F4801D-F1C7-4BC5-A0AB-1F1A1155B4B5}"/>
  <tableColumns count="28">
    <tableColumn id="1" xr3:uid="{A7DB1079-E906-430B-8887-AC2F7AA19E63}" name="RESPONSABLE">
      <calculatedColumnFormula>VLOOKUP(F2,'[1]Trans Pte X Contabilizar'!$A:$B,2,FALSE)</calculatedColumnFormula>
    </tableColumn>
    <tableColumn id="2" xr3:uid="{D4F0B5AF-8794-4E7B-8500-A618169F8DEB}" name="Número activo"/>
    <tableColumn id="3" xr3:uid="{B6A489DC-9128-4757-B43E-AD4CB0C9ECFF}" name="Explicación" dataDxfId="20"/>
    <tableColumn id="4" xr3:uid="{9BAA0A32-5C95-4918-9EEE-F6C0C72FDF5F}" name="Importe                     " dataCellStyle="Millares"/>
    <tableColumn id="5" xr3:uid="{F14A7E90-525C-4839-A5FA-819C690A8330}" name="Tipo doc" dataDxfId="19"/>
    <tableColumn id="6" xr3:uid="{652A3E77-5081-4BFE-AC9A-4B061E75CE15}" name="Número documento"/>
    <tableColumn id="7" xr3:uid="{4360ECC6-98B8-4279-AB91-E50D25EDDA28}" name="Fecha libro mayor" dataDxfId="18"/>
    <tableColumn id="8" xr3:uid="{A21A1725-F466-4C7B-9BE4-83FF7F85A590}" name="Cd rtn" dataDxfId="17"/>
    <tableColumn id="9" xr3:uid="{28B3E386-E00B-4665-862C-9664B1730EB4}" name="Cd contzn" dataDxfId="16"/>
    <tableColumn id="10" xr3:uid="{E189C45A-8207-4D6C-AF12-FA52C05F68E8}" name="Número línea"/>
    <tableColumn id="11" xr3:uid="{6643A215-5EE8-43CE-9772-28C9FF8E7AF3}" name="Explicación2" dataDxfId="15"/>
    <tableColumn id="12" xr3:uid="{4C51E2C5-E5E8-43FB-B402-CF326B34BDAE}" name="Cd fact" dataDxfId="14"/>
    <tableColumn id="13" xr3:uid="{3FA41EB1-37E2-4EC9-816F-A1E01FD94302}" name="Código DOI"/>
    <tableColumn id="14" xr3:uid="{47816F6D-782D-4749-91E9-4E11AB4970A7}" name="Unidades"/>
    <tableColumn id="15" xr3:uid="{E01CE129-1DC3-4872-A36E-24C4E60E28F4}" name="UM" dataDxfId="13"/>
    <tableColumn id="16" xr3:uid="{BDFE47B6-64D1-455F-BC61-1C0033DCD5A0}" name="Cuenta" dataDxfId="12"/>
    <tableColumn id="17" xr3:uid="{8708ED66-92F8-4834-92B2-AF49B4087DC7}" name="Tipo LM" dataDxfId="11"/>
    <tableColumn id="18" xr3:uid="{DD3FA7E1-31F4-4616-8D30-747DD2D23B9D}" name="Tp LM aux" dataDxfId="10"/>
    <tableColumn id="19" xr3:uid="{28921216-0E4E-4EDD-A4C9-3852D9B9BE13}" name="Libro mayor auxiliar" dataDxfId="9"/>
    <tableColumn id="20" xr3:uid="{28A7EDF7-3FFF-4E40-8098-177A595F6DC0}" name="Compañía documento" dataDxfId="8"/>
    <tableColumn id="21" xr3:uid="{0C2BD48E-AC1E-49B1-A59D-AB1B37EC95BA}" name="Compañía" dataDxfId="7"/>
    <tableColumn id="22" xr3:uid="{CF5FBC55-8215-4E6F-8523-FF97E5AA70DD}" name="Número batch"/>
    <tableColumn id="23" xr3:uid="{07E1E3D6-966F-4B0D-8829-27C635E5ADF1}" name="Tipo batch" dataDxfId="6"/>
    <tableColumn id="24" xr3:uid="{788D6A37-85AF-43A3-A324-51E2DEF5A26D}" name="Extensión línea" dataDxfId="5"/>
    <tableColumn id="25" xr3:uid="{8D4251FF-C31F-4AA9-87BB-B4D7FC43A3FF}" name="Número unidad" dataDxfId="4"/>
    <tableColumn id="26" xr3:uid="{B220097E-659F-406D-9A4A-E52FBF87C785}" name="Número serie" dataDxfId="3"/>
    <tableColumn id="27" xr3:uid="{30AA3CE8-6083-40A1-9CDA-691B2839EF32}" name="Orden de compra" dataDxfId="2"/>
    <tableColumn id="28" xr3:uid="{BAABB5DA-A0A1-47D9-8BC9-F40836E38369}" name="Importe de moneda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119C-832F-4003-BF71-48B2C2B583AC}">
  <dimension ref="A3:B78"/>
  <sheetViews>
    <sheetView tabSelected="1" workbookViewId="0">
      <selection activeCell="J16" sqref="J16"/>
    </sheetView>
  </sheetViews>
  <sheetFormatPr baseColWidth="10" defaultRowHeight="14.5" x14ac:dyDescent="0.35"/>
  <cols>
    <col min="1" max="1" width="35.36328125" bestFit="1" customWidth="1"/>
    <col min="2" max="2" width="27.81640625" bestFit="1" customWidth="1"/>
  </cols>
  <sheetData>
    <row r="3" spans="1:2" x14ac:dyDescent="0.35">
      <c r="A3" s="5" t="s">
        <v>169</v>
      </c>
      <c r="B3" t="s">
        <v>179</v>
      </c>
    </row>
    <row r="4" spans="1:2" x14ac:dyDescent="0.35">
      <c r="A4" s="6" t="s">
        <v>165</v>
      </c>
      <c r="B4" s="8">
        <v>48</v>
      </c>
    </row>
    <row r="5" spans="1:2" x14ac:dyDescent="0.35">
      <c r="A5" s="7" t="s">
        <v>27</v>
      </c>
      <c r="B5" s="8">
        <v>2</v>
      </c>
    </row>
    <row r="6" spans="1:2" x14ac:dyDescent="0.35">
      <c r="A6" s="9" t="s">
        <v>34</v>
      </c>
      <c r="B6" s="8">
        <v>1</v>
      </c>
    </row>
    <row r="7" spans="1:2" x14ac:dyDescent="0.35">
      <c r="A7" s="9" t="s">
        <v>30</v>
      </c>
      <c r="B7" s="8">
        <v>1</v>
      </c>
    </row>
    <row r="8" spans="1:2" x14ac:dyDescent="0.35">
      <c r="A8" s="7" t="s">
        <v>35</v>
      </c>
      <c r="B8" s="8">
        <v>24</v>
      </c>
    </row>
    <row r="9" spans="1:2" x14ac:dyDescent="0.35">
      <c r="A9" s="9" t="s">
        <v>50</v>
      </c>
      <c r="B9" s="8">
        <v>12</v>
      </c>
    </row>
    <row r="10" spans="1:2" x14ac:dyDescent="0.35">
      <c r="A10" s="9" t="s">
        <v>51</v>
      </c>
      <c r="B10" s="8">
        <v>12</v>
      </c>
    </row>
    <row r="11" spans="1:2" x14ac:dyDescent="0.35">
      <c r="A11" s="7" t="s">
        <v>83</v>
      </c>
      <c r="B11" s="8">
        <v>2</v>
      </c>
    </row>
    <row r="12" spans="1:2" x14ac:dyDescent="0.35">
      <c r="A12" s="9" t="s">
        <v>85</v>
      </c>
      <c r="B12" s="8">
        <v>2</v>
      </c>
    </row>
    <row r="13" spans="1:2" x14ac:dyDescent="0.35">
      <c r="A13" s="7" t="s">
        <v>91</v>
      </c>
      <c r="B13" s="8">
        <v>20</v>
      </c>
    </row>
    <row r="14" spans="1:2" x14ac:dyDescent="0.35">
      <c r="A14" s="9" t="s">
        <v>123</v>
      </c>
      <c r="B14" s="8">
        <v>2</v>
      </c>
    </row>
    <row r="15" spans="1:2" x14ac:dyDescent="0.35">
      <c r="A15" s="9" t="s">
        <v>135</v>
      </c>
      <c r="B15" s="8">
        <v>2</v>
      </c>
    </row>
    <row r="16" spans="1:2" x14ac:dyDescent="0.35">
      <c r="A16" s="9" t="s">
        <v>126</v>
      </c>
      <c r="B16" s="8">
        <v>2</v>
      </c>
    </row>
    <row r="17" spans="1:2" x14ac:dyDescent="0.35">
      <c r="A17" s="9" t="s">
        <v>137</v>
      </c>
      <c r="B17" s="8">
        <v>1</v>
      </c>
    </row>
    <row r="18" spans="1:2" x14ac:dyDescent="0.35">
      <c r="A18" s="9" t="s">
        <v>129</v>
      </c>
      <c r="B18" s="8">
        <v>5</v>
      </c>
    </row>
    <row r="19" spans="1:2" x14ac:dyDescent="0.35">
      <c r="A19" s="9" t="s">
        <v>139</v>
      </c>
      <c r="B19" s="8">
        <v>3</v>
      </c>
    </row>
    <row r="20" spans="1:2" x14ac:dyDescent="0.35">
      <c r="A20" s="9" t="s">
        <v>133</v>
      </c>
      <c r="B20" s="8">
        <v>2</v>
      </c>
    </row>
    <row r="21" spans="1:2" x14ac:dyDescent="0.35">
      <c r="A21" s="9" t="s">
        <v>141</v>
      </c>
      <c r="B21" s="8">
        <v>3</v>
      </c>
    </row>
    <row r="22" spans="1:2" x14ac:dyDescent="0.35">
      <c r="A22" s="6" t="s">
        <v>170</v>
      </c>
      <c r="B22" s="8">
        <v>56</v>
      </c>
    </row>
    <row r="23" spans="1:2" x14ac:dyDescent="0.35">
      <c r="A23" s="7" t="s">
        <v>61</v>
      </c>
      <c r="B23" s="8">
        <v>56</v>
      </c>
    </row>
    <row r="24" spans="1:2" x14ac:dyDescent="0.35">
      <c r="A24" s="9" t="s">
        <v>77</v>
      </c>
      <c r="B24" s="8">
        <v>24</v>
      </c>
    </row>
    <row r="25" spans="1:2" x14ac:dyDescent="0.35">
      <c r="A25" s="9" t="s">
        <v>79</v>
      </c>
      <c r="B25" s="8">
        <v>12</v>
      </c>
    </row>
    <row r="26" spans="1:2" x14ac:dyDescent="0.35">
      <c r="A26" s="9" t="s">
        <v>69</v>
      </c>
      <c r="B26" s="8">
        <v>4</v>
      </c>
    </row>
    <row r="27" spans="1:2" x14ac:dyDescent="0.35">
      <c r="A27" s="9" t="s">
        <v>63</v>
      </c>
      <c r="B27" s="8">
        <v>12</v>
      </c>
    </row>
    <row r="28" spans="1:2" x14ac:dyDescent="0.35">
      <c r="A28" s="9" t="s">
        <v>73</v>
      </c>
      <c r="B28" s="8">
        <v>4</v>
      </c>
    </row>
    <row r="29" spans="1:2" x14ac:dyDescent="0.35">
      <c r="A29" s="6" t="s">
        <v>171</v>
      </c>
      <c r="B29" s="8">
        <v>2</v>
      </c>
    </row>
    <row r="30" spans="1:2" x14ac:dyDescent="0.35">
      <c r="A30" s="7" t="s">
        <v>91</v>
      </c>
      <c r="B30" s="8">
        <v>2</v>
      </c>
    </row>
    <row r="31" spans="1:2" x14ac:dyDescent="0.35">
      <c r="A31" s="9" t="s">
        <v>34</v>
      </c>
      <c r="B31" s="8">
        <v>2</v>
      </c>
    </row>
    <row r="32" spans="1:2" x14ac:dyDescent="0.35">
      <c r="A32" s="6" t="s">
        <v>166</v>
      </c>
      <c r="B32" s="8">
        <v>188</v>
      </c>
    </row>
    <row r="33" spans="1:2" x14ac:dyDescent="0.35">
      <c r="A33" s="7" t="s">
        <v>35</v>
      </c>
      <c r="B33" s="8">
        <v>188</v>
      </c>
    </row>
    <row r="34" spans="1:2" x14ac:dyDescent="0.35">
      <c r="A34" s="9" t="s">
        <v>44</v>
      </c>
      <c r="B34" s="8">
        <v>52</v>
      </c>
    </row>
    <row r="35" spans="1:2" x14ac:dyDescent="0.35">
      <c r="A35" s="9" t="s">
        <v>37</v>
      </c>
      <c r="B35" s="8">
        <v>94</v>
      </c>
    </row>
    <row r="36" spans="1:2" x14ac:dyDescent="0.35">
      <c r="A36" s="9" t="s">
        <v>47</v>
      </c>
      <c r="B36" s="8">
        <v>42</v>
      </c>
    </row>
    <row r="37" spans="1:2" x14ac:dyDescent="0.35">
      <c r="A37" s="6" t="s">
        <v>167</v>
      </c>
      <c r="B37" s="8">
        <v>51</v>
      </c>
    </row>
    <row r="38" spans="1:2" x14ac:dyDescent="0.35">
      <c r="A38" s="7" t="s">
        <v>35</v>
      </c>
      <c r="B38" s="8">
        <v>50</v>
      </c>
    </row>
    <row r="39" spans="1:2" x14ac:dyDescent="0.35">
      <c r="A39" s="9" t="s">
        <v>52</v>
      </c>
      <c r="B39" s="8">
        <v>8</v>
      </c>
    </row>
    <row r="40" spans="1:2" x14ac:dyDescent="0.35">
      <c r="A40" s="9" t="s">
        <v>46</v>
      </c>
      <c r="B40" s="8">
        <v>42</v>
      </c>
    </row>
    <row r="41" spans="1:2" x14ac:dyDescent="0.35">
      <c r="A41" s="7" t="s">
        <v>91</v>
      </c>
      <c r="B41" s="8">
        <v>1</v>
      </c>
    </row>
    <row r="42" spans="1:2" x14ac:dyDescent="0.35">
      <c r="A42" s="9" t="s">
        <v>59</v>
      </c>
      <c r="B42" s="8">
        <v>1</v>
      </c>
    </row>
    <row r="43" spans="1:2" x14ac:dyDescent="0.35">
      <c r="A43" s="6" t="s">
        <v>172</v>
      </c>
      <c r="B43" s="8">
        <v>4</v>
      </c>
    </row>
    <row r="44" spans="1:2" x14ac:dyDescent="0.35">
      <c r="A44" s="7" t="s">
        <v>91</v>
      </c>
      <c r="B44" s="8">
        <v>2</v>
      </c>
    </row>
    <row r="45" spans="1:2" x14ac:dyDescent="0.35">
      <c r="A45" s="9" t="s">
        <v>108</v>
      </c>
      <c r="B45" s="8">
        <v>2</v>
      </c>
    </row>
    <row r="46" spans="1:2" x14ac:dyDescent="0.35">
      <c r="A46" s="7" t="s">
        <v>147</v>
      </c>
      <c r="B46" s="8">
        <v>2</v>
      </c>
    </row>
    <row r="47" spans="1:2" x14ac:dyDescent="0.35">
      <c r="A47" s="9" t="s">
        <v>108</v>
      </c>
      <c r="B47" s="8">
        <v>2</v>
      </c>
    </row>
    <row r="48" spans="1:2" x14ac:dyDescent="0.35">
      <c r="A48" s="6" t="s">
        <v>173</v>
      </c>
      <c r="B48" s="8">
        <v>26</v>
      </c>
    </row>
    <row r="49" spans="1:2" x14ac:dyDescent="0.35">
      <c r="A49" s="7" t="s">
        <v>147</v>
      </c>
      <c r="B49" s="8">
        <v>26</v>
      </c>
    </row>
    <row r="50" spans="1:2" x14ac:dyDescent="0.35">
      <c r="A50" s="9" t="s">
        <v>152</v>
      </c>
      <c r="B50" s="8">
        <v>3</v>
      </c>
    </row>
    <row r="51" spans="1:2" x14ac:dyDescent="0.35">
      <c r="A51" s="9" t="s">
        <v>154</v>
      </c>
      <c r="B51" s="8">
        <v>23</v>
      </c>
    </row>
    <row r="52" spans="1:2" x14ac:dyDescent="0.35">
      <c r="A52" s="6" t="s">
        <v>174</v>
      </c>
      <c r="B52" s="8">
        <v>15</v>
      </c>
    </row>
    <row r="53" spans="1:2" x14ac:dyDescent="0.35">
      <c r="A53" s="7" t="s">
        <v>91</v>
      </c>
      <c r="B53" s="8">
        <v>13</v>
      </c>
    </row>
    <row r="54" spans="1:2" x14ac:dyDescent="0.35">
      <c r="A54" s="9" t="s">
        <v>59</v>
      </c>
      <c r="B54" s="8">
        <v>3</v>
      </c>
    </row>
    <row r="55" spans="1:2" x14ac:dyDescent="0.35">
      <c r="A55" s="9" t="s">
        <v>97</v>
      </c>
      <c r="B55" s="8">
        <v>4</v>
      </c>
    </row>
    <row r="56" spans="1:2" x14ac:dyDescent="0.35">
      <c r="A56" s="9" t="s">
        <v>144</v>
      </c>
      <c r="B56" s="8">
        <v>1</v>
      </c>
    </row>
    <row r="57" spans="1:2" x14ac:dyDescent="0.35">
      <c r="A57" s="9" t="s">
        <v>146</v>
      </c>
      <c r="B57" s="8">
        <v>5</v>
      </c>
    </row>
    <row r="58" spans="1:2" x14ac:dyDescent="0.35">
      <c r="A58" s="7" t="s">
        <v>147</v>
      </c>
      <c r="B58" s="8">
        <v>2</v>
      </c>
    </row>
    <row r="59" spans="1:2" x14ac:dyDescent="0.35">
      <c r="A59" s="9" t="s">
        <v>97</v>
      </c>
      <c r="B59" s="8">
        <v>2</v>
      </c>
    </row>
    <row r="60" spans="1:2" x14ac:dyDescent="0.35">
      <c r="A60" s="6" t="s">
        <v>175</v>
      </c>
      <c r="B60" s="8">
        <v>12</v>
      </c>
    </row>
    <row r="61" spans="1:2" x14ac:dyDescent="0.35">
      <c r="A61" s="7" t="s">
        <v>54</v>
      </c>
      <c r="B61" s="8">
        <v>1</v>
      </c>
    </row>
    <row r="62" spans="1:2" x14ac:dyDescent="0.35">
      <c r="A62" s="9" t="s">
        <v>55</v>
      </c>
      <c r="B62" s="8">
        <v>1</v>
      </c>
    </row>
    <row r="63" spans="1:2" x14ac:dyDescent="0.35">
      <c r="A63" s="7" t="s">
        <v>57</v>
      </c>
      <c r="B63" s="8">
        <v>2</v>
      </c>
    </row>
    <row r="64" spans="1:2" x14ac:dyDescent="0.35">
      <c r="A64" s="9" t="s">
        <v>59</v>
      </c>
      <c r="B64" s="8">
        <v>1</v>
      </c>
    </row>
    <row r="65" spans="1:2" x14ac:dyDescent="0.35">
      <c r="A65" s="9" t="s">
        <v>58</v>
      </c>
      <c r="B65" s="8">
        <v>1</v>
      </c>
    </row>
    <row r="66" spans="1:2" x14ac:dyDescent="0.35">
      <c r="A66" s="7" t="s">
        <v>91</v>
      </c>
      <c r="B66" s="8">
        <v>8</v>
      </c>
    </row>
    <row r="67" spans="1:2" x14ac:dyDescent="0.35">
      <c r="A67" s="9" t="s">
        <v>59</v>
      </c>
      <c r="B67" s="8">
        <v>3</v>
      </c>
    </row>
    <row r="68" spans="1:2" x14ac:dyDescent="0.35">
      <c r="A68" s="9" t="s">
        <v>97</v>
      </c>
      <c r="B68" s="8">
        <v>5</v>
      </c>
    </row>
    <row r="69" spans="1:2" x14ac:dyDescent="0.35">
      <c r="A69" s="7" t="s">
        <v>147</v>
      </c>
      <c r="B69" s="8">
        <v>1</v>
      </c>
    </row>
    <row r="70" spans="1:2" x14ac:dyDescent="0.35">
      <c r="A70" s="9" t="s">
        <v>97</v>
      </c>
      <c r="B70" s="8">
        <v>1</v>
      </c>
    </row>
    <row r="71" spans="1:2" x14ac:dyDescent="0.35">
      <c r="A71" s="6" t="s">
        <v>176</v>
      </c>
      <c r="B71" s="8">
        <v>1</v>
      </c>
    </row>
    <row r="72" spans="1:2" x14ac:dyDescent="0.35">
      <c r="A72" s="7" t="s">
        <v>159</v>
      </c>
      <c r="B72" s="8">
        <v>1</v>
      </c>
    </row>
    <row r="73" spans="1:2" x14ac:dyDescent="0.35">
      <c r="A73" s="9" t="s">
        <v>160</v>
      </c>
      <c r="B73" s="8">
        <v>1</v>
      </c>
    </row>
    <row r="74" spans="1:2" x14ac:dyDescent="0.35">
      <c r="A74" s="6" t="s">
        <v>177</v>
      </c>
      <c r="B74" s="8">
        <v>2</v>
      </c>
    </row>
    <row r="75" spans="1:2" x14ac:dyDescent="0.35">
      <c r="A75" s="7" t="s">
        <v>159</v>
      </c>
      <c r="B75" s="8">
        <v>2</v>
      </c>
    </row>
    <row r="76" spans="1:2" x14ac:dyDescent="0.35">
      <c r="A76" s="9" t="s">
        <v>58</v>
      </c>
      <c r="B76" s="8">
        <v>1</v>
      </c>
    </row>
    <row r="77" spans="1:2" x14ac:dyDescent="0.35">
      <c r="A77" s="9" t="s">
        <v>162</v>
      </c>
      <c r="B77" s="8">
        <v>1</v>
      </c>
    </row>
    <row r="78" spans="1:2" x14ac:dyDescent="0.35">
      <c r="A78" s="6" t="s">
        <v>178</v>
      </c>
      <c r="B78" s="8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801D-F1C7-4BC5-A0AB-1F1A1155B4B5}">
  <dimension ref="A1:AB406"/>
  <sheetViews>
    <sheetView topLeftCell="A37" workbookViewId="0">
      <selection activeCell="D14" sqref="D14"/>
    </sheetView>
  </sheetViews>
  <sheetFormatPr baseColWidth="10" defaultRowHeight="14.5" x14ac:dyDescent="0.35"/>
  <cols>
    <col min="1" max="2" width="15.453125" customWidth="1"/>
    <col min="3" max="3" width="13" style="1" customWidth="1"/>
    <col min="4" max="4" width="21" style="11" customWidth="1"/>
    <col min="5" max="5" width="10.90625" style="1"/>
    <col min="6" max="6" width="19.90625" customWidth="1"/>
    <col min="7" max="7" width="18.7265625" style="2" customWidth="1"/>
    <col min="8" max="8" width="10.90625" style="1"/>
    <col min="9" max="9" width="11.453125" style="1" customWidth="1"/>
    <col min="10" max="10" width="14.6328125" customWidth="1"/>
    <col min="11" max="11" width="32.7265625" style="1" bestFit="1" customWidth="1"/>
    <col min="12" max="12" width="10.90625" style="1"/>
    <col min="13" max="13" width="12.7265625" customWidth="1"/>
    <col min="15" max="15" width="10.90625" style="1"/>
    <col min="16" max="16" width="29.81640625" style="1" bestFit="1" customWidth="1"/>
    <col min="17" max="17" width="10.90625" style="1"/>
    <col min="18" max="18" width="12" style="1" customWidth="1"/>
    <col min="19" max="19" width="20.6328125" style="1" customWidth="1"/>
    <col min="20" max="20" width="22" style="1" customWidth="1"/>
    <col min="21" max="21" width="11.7265625" style="1" customWidth="1"/>
    <col min="22" max="22" width="15" customWidth="1"/>
    <col min="23" max="23" width="12" style="1" customWidth="1"/>
    <col min="24" max="25" width="16.26953125" style="1" customWidth="1"/>
    <col min="26" max="26" width="14.453125" style="1" customWidth="1"/>
    <col min="27" max="27" width="18" style="1" customWidth="1"/>
    <col min="28" max="28" width="20.7265625" customWidth="1"/>
  </cols>
  <sheetData>
    <row r="1" spans="1:28" x14ac:dyDescent="0.35">
      <c r="A1" s="4" t="s">
        <v>164</v>
      </c>
      <c r="B1" s="3" t="s">
        <v>0</v>
      </c>
      <c r="C1" s="3" t="s">
        <v>1</v>
      </c>
      <c r="D1" s="10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168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165</v>
      </c>
      <c r="B2">
        <v>429257</v>
      </c>
      <c r="C2" s="1" t="s">
        <v>26</v>
      </c>
      <c r="D2" s="11">
        <v>-1838347.4</v>
      </c>
      <c r="E2" s="1" t="s">
        <v>27</v>
      </c>
      <c r="F2">
        <v>69492</v>
      </c>
      <c r="G2" s="2">
        <v>45991</v>
      </c>
      <c r="H2" s="1" t="s">
        <v>28</v>
      </c>
      <c r="I2" s="1" t="s">
        <v>28</v>
      </c>
      <c r="J2">
        <v>1</v>
      </c>
      <c r="K2" s="1" t="s">
        <v>29</v>
      </c>
      <c r="L2" s="1" t="s">
        <v>28</v>
      </c>
      <c r="O2" s="1" t="s">
        <v>28</v>
      </c>
      <c r="P2" s="1" t="s">
        <v>30</v>
      </c>
      <c r="Q2" s="1" t="s">
        <v>31</v>
      </c>
      <c r="R2" s="1" t="s">
        <v>28</v>
      </c>
      <c r="S2" s="1" t="s">
        <v>28</v>
      </c>
      <c r="T2" s="1" t="s">
        <v>32</v>
      </c>
      <c r="U2" s="1" t="s">
        <v>32</v>
      </c>
      <c r="V2">
        <v>1944741</v>
      </c>
      <c r="W2" s="1" t="s">
        <v>33</v>
      </c>
      <c r="X2" s="1" t="s">
        <v>28</v>
      </c>
      <c r="Y2" s="1" t="s">
        <v>28</v>
      </c>
      <c r="Z2" s="1" t="s">
        <v>28</v>
      </c>
      <c r="AA2" s="1" t="s">
        <v>28</v>
      </c>
    </row>
    <row r="3" spans="1:28" x14ac:dyDescent="0.35">
      <c r="A3" t="s">
        <v>165</v>
      </c>
      <c r="B3">
        <v>468426</v>
      </c>
      <c r="C3" s="1" t="s">
        <v>26</v>
      </c>
      <c r="D3" s="11">
        <v>1838347.4</v>
      </c>
      <c r="E3" s="1" t="s">
        <v>27</v>
      </c>
      <c r="F3">
        <v>69492</v>
      </c>
      <c r="G3" s="2">
        <v>45991</v>
      </c>
      <c r="H3" s="1" t="s">
        <v>28</v>
      </c>
      <c r="I3" s="1" t="s">
        <v>28</v>
      </c>
      <c r="J3">
        <v>2</v>
      </c>
      <c r="K3" s="1" t="s">
        <v>29</v>
      </c>
      <c r="L3" s="1" t="s">
        <v>28</v>
      </c>
      <c r="O3" s="1" t="s">
        <v>28</v>
      </c>
      <c r="P3" s="1" t="s">
        <v>34</v>
      </c>
      <c r="Q3" s="1" t="s">
        <v>31</v>
      </c>
      <c r="R3" s="1" t="s">
        <v>28</v>
      </c>
      <c r="S3" s="1" t="s">
        <v>28</v>
      </c>
      <c r="T3" s="1" t="s">
        <v>32</v>
      </c>
      <c r="U3" s="1" t="s">
        <v>32</v>
      </c>
      <c r="V3">
        <v>1944741</v>
      </c>
      <c r="W3" s="1" t="s">
        <v>33</v>
      </c>
      <c r="X3" s="1" t="s">
        <v>28</v>
      </c>
      <c r="Y3" s="1" t="s">
        <v>28</v>
      </c>
      <c r="Z3" s="1" t="s">
        <v>28</v>
      </c>
      <c r="AA3" s="1" t="s">
        <v>28</v>
      </c>
    </row>
    <row r="4" spans="1:28" x14ac:dyDescent="0.35">
      <c r="A4" t="s">
        <v>166</v>
      </c>
      <c r="B4">
        <v>327543</v>
      </c>
      <c r="C4" s="1" t="s">
        <v>28</v>
      </c>
      <c r="D4" s="11">
        <v>-115281.32</v>
      </c>
      <c r="E4" s="1" t="s">
        <v>35</v>
      </c>
      <c r="F4">
        <v>40103</v>
      </c>
      <c r="G4" s="2">
        <v>45991</v>
      </c>
      <c r="H4" s="1" t="s">
        <v>28</v>
      </c>
      <c r="I4" s="1" t="s">
        <v>28</v>
      </c>
      <c r="J4">
        <v>2</v>
      </c>
      <c r="K4" s="1" t="s">
        <v>36</v>
      </c>
      <c r="L4" s="1" t="s">
        <v>28</v>
      </c>
      <c r="O4" s="1" t="s">
        <v>28</v>
      </c>
      <c r="P4" s="1" t="s">
        <v>37</v>
      </c>
      <c r="Q4" s="1" t="s">
        <v>31</v>
      </c>
      <c r="R4" s="1" t="s">
        <v>38</v>
      </c>
      <c r="S4" s="1" t="s">
        <v>39</v>
      </c>
      <c r="T4" s="1" t="s">
        <v>40</v>
      </c>
      <c r="U4" s="1" t="s">
        <v>32</v>
      </c>
      <c r="V4">
        <v>1944733</v>
      </c>
      <c r="W4" s="1" t="s">
        <v>33</v>
      </c>
      <c r="X4" s="1" t="s">
        <v>28</v>
      </c>
      <c r="Y4" s="1" t="s">
        <v>28</v>
      </c>
      <c r="Z4" s="1" t="s">
        <v>28</v>
      </c>
      <c r="AA4" s="1" t="s">
        <v>28</v>
      </c>
    </row>
    <row r="5" spans="1:28" x14ac:dyDescent="0.35">
      <c r="A5" t="s">
        <v>166</v>
      </c>
      <c r="B5">
        <v>327543</v>
      </c>
      <c r="C5" s="1" t="s">
        <v>28</v>
      </c>
      <c r="D5" s="11">
        <v>54998.85</v>
      </c>
      <c r="E5" s="1" t="s">
        <v>35</v>
      </c>
      <c r="F5">
        <v>40104</v>
      </c>
      <c r="G5" s="2">
        <v>45991</v>
      </c>
      <c r="H5" s="1" t="s">
        <v>28</v>
      </c>
      <c r="I5" s="1" t="s">
        <v>28</v>
      </c>
      <c r="J5">
        <v>2</v>
      </c>
      <c r="K5" s="1" t="s">
        <v>36</v>
      </c>
      <c r="L5" s="1" t="s">
        <v>28</v>
      </c>
      <c r="O5" s="1" t="s">
        <v>28</v>
      </c>
      <c r="P5" s="1" t="s">
        <v>37</v>
      </c>
      <c r="Q5" s="1" t="s">
        <v>31</v>
      </c>
      <c r="R5" s="1" t="s">
        <v>38</v>
      </c>
      <c r="S5" s="1" t="s">
        <v>39</v>
      </c>
      <c r="T5" s="1" t="s">
        <v>40</v>
      </c>
      <c r="U5" s="1" t="s">
        <v>32</v>
      </c>
      <c r="V5">
        <v>1944733</v>
      </c>
      <c r="W5" s="1" t="s">
        <v>33</v>
      </c>
      <c r="X5" s="1" t="s">
        <v>28</v>
      </c>
      <c r="Y5" s="1" t="s">
        <v>28</v>
      </c>
      <c r="Z5" s="1" t="s">
        <v>28</v>
      </c>
      <c r="AA5" s="1" t="s">
        <v>28</v>
      </c>
    </row>
    <row r="6" spans="1:28" x14ac:dyDescent="0.35">
      <c r="A6" t="s">
        <v>166</v>
      </c>
      <c r="B6">
        <v>327543</v>
      </c>
      <c r="C6" s="1" t="s">
        <v>28</v>
      </c>
      <c r="D6" s="11">
        <v>-23928.560000000001</v>
      </c>
      <c r="E6" s="1" t="s">
        <v>35</v>
      </c>
      <c r="F6">
        <v>40105</v>
      </c>
      <c r="G6" s="2">
        <v>45991</v>
      </c>
      <c r="H6" s="1" t="s">
        <v>28</v>
      </c>
      <c r="I6" s="1" t="s">
        <v>28</v>
      </c>
      <c r="J6">
        <v>2</v>
      </c>
      <c r="K6" s="1" t="s">
        <v>36</v>
      </c>
      <c r="L6" s="1" t="s">
        <v>28</v>
      </c>
      <c r="O6" s="1" t="s">
        <v>28</v>
      </c>
      <c r="P6" s="1" t="s">
        <v>37</v>
      </c>
      <c r="Q6" s="1" t="s">
        <v>31</v>
      </c>
      <c r="R6" s="1" t="s">
        <v>38</v>
      </c>
      <c r="S6" s="1" t="s">
        <v>39</v>
      </c>
      <c r="T6" s="1" t="s">
        <v>40</v>
      </c>
      <c r="U6" s="1" t="s">
        <v>32</v>
      </c>
      <c r="V6">
        <v>1944733</v>
      </c>
      <c r="W6" s="1" t="s">
        <v>33</v>
      </c>
      <c r="X6" s="1" t="s">
        <v>28</v>
      </c>
      <c r="Y6" s="1" t="s">
        <v>28</v>
      </c>
      <c r="Z6" s="1" t="s">
        <v>28</v>
      </c>
      <c r="AA6" s="1" t="s">
        <v>28</v>
      </c>
    </row>
    <row r="7" spans="1:28" x14ac:dyDescent="0.35">
      <c r="A7" t="s">
        <v>166</v>
      </c>
      <c r="B7">
        <v>327543</v>
      </c>
      <c r="C7" s="1" t="s">
        <v>28</v>
      </c>
      <c r="D7" s="11">
        <v>1176.25</v>
      </c>
      <c r="E7" s="1" t="s">
        <v>35</v>
      </c>
      <c r="F7">
        <v>40106</v>
      </c>
      <c r="G7" s="2">
        <v>45991</v>
      </c>
      <c r="H7" s="1" t="s">
        <v>28</v>
      </c>
      <c r="I7" s="1" t="s">
        <v>28</v>
      </c>
      <c r="J7">
        <v>2</v>
      </c>
      <c r="K7" s="1" t="s">
        <v>36</v>
      </c>
      <c r="L7" s="1" t="s">
        <v>28</v>
      </c>
      <c r="O7" s="1" t="s">
        <v>28</v>
      </c>
      <c r="P7" s="1" t="s">
        <v>37</v>
      </c>
      <c r="Q7" s="1" t="s">
        <v>31</v>
      </c>
      <c r="R7" s="1" t="s">
        <v>38</v>
      </c>
      <c r="S7" s="1" t="s">
        <v>39</v>
      </c>
      <c r="T7" s="1" t="s">
        <v>40</v>
      </c>
      <c r="U7" s="1" t="s">
        <v>32</v>
      </c>
      <c r="V7">
        <v>1944733</v>
      </c>
      <c r="W7" s="1" t="s">
        <v>33</v>
      </c>
      <c r="X7" s="1" t="s">
        <v>28</v>
      </c>
      <c r="Y7" s="1" t="s">
        <v>28</v>
      </c>
      <c r="Z7" s="1" t="s">
        <v>28</v>
      </c>
      <c r="AA7" s="1" t="s">
        <v>28</v>
      </c>
    </row>
    <row r="8" spans="1:28" x14ac:dyDescent="0.35">
      <c r="A8" t="s">
        <v>166</v>
      </c>
      <c r="B8">
        <v>327543</v>
      </c>
      <c r="C8" s="1" t="s">
        <v>28</v>
      </c>
      <c r="D8" s="11">
        <v>28237.29</v>
      </c>
      <c r="E8" s="1" t="s">
        <v>35</v>
      </c>
      <c r="F8">
        <v>40107</v>
      </c>
      <c r="G8" s="2">
        <v>45991</v>
      </c>
      <c r="H8" s="1" t="s">
        <v>28</v>
      </c>
      <c r="I8" s="1" t="s">
        <v>28</v>
      </c>
      <c r="J8">
        <v>2</v>
      </c>
      <c r="K8" s="1" t="s">
        <v>36</v>
      </c>
      <c r="L8" s="1" t="s">
        <v>28</v>
      </c>
      <c r="O8" s="1" t="s">
        <v>28</v>
      </c>
      <c r="P8" s="1" t="s">
        <v>37</v>
      </c>
      <c r="Q8" s="1" t="s">
        <v>31</v>
      </c>
      <c r="R8" s="1" t="s">
        <v>38</v>
      </c>
      <c r="S8" s="1" t="s">
        <v>39</v>
      </c>
      <c r="T8" s="1" t="s">
        <v>40</v>
      </c>
      <c r="U8" s="1" t="s">
        <v>32</v>
      </c>
      <c r="V8">
        <v>1944733</v>
      </c>
      <c r="W8" s="1" t="s">
        <v>33</v>
      </c>
      <c r="X8" s="1" t="s">
        <v>28</v>
      </c>
      <c r="Y8" s="1" t="s">
        <v>28</v>
      </c>
      <c r="Z8" s="1" t="s">
        <v>28</v>
      </c>
      <c r="AA8" s="1" t="s">
        <v>28</v>
      </c>
    </row>
    <row r="9" spans="1:28" x14ac:dyDescent="0.35">
      <c r="A9" t="s">
        <v>166</v>
      </c>
      <c r="B9">
        <v>327543</v>
      </c>
      <c r="C9" s="1" t="s">
        <v>28</v>
      </c>
      <c r="D9" s="11">
        <v>-8387.0300000000007</v>
      </c>
      <c r="E9" s="1" t="s">
        <v>35</v>
      </c>
      <c r="F9">
        <v>40108</v>
      </c>
      <c r="G9" s="2">
        <v>45991</v>
      </c>
      <c r="H9" s="1" t="s">
        <v>28</v>
      </c>
      <c r="I9" s="1" t="s">
        <v>28</v>
      </c>
      <c r="J9">
        <v>2</v>
      </c>
      <c r="K9" s="1" t="s">
        <v>36</v>
      </c>
      <c r="L9" s="1" t="s">
        <v>28</v>
      </c>
      <c r="O9" s="1" t="s">
        <v>28</v>
      </c>
      <c r="P9" s="1" t="s">
        <v>37</v>
      </c>
      <c r="Q9" s="1" t="s">
        <v>31</v>
      </c>
      <c r="R9" s="1" t="s">
        <v>38</v>
      </c>
      <c r="S9" s="1" t="s">
        <v>39</v>
      </c>
      <c r="T9" s="1" t="s">
        <v>40</v>
      </c>
      <c r="U9" s="1" t="s">
        <v>32</v>
      </c>
      <c r="V9">
        <v>1944733</v>
      </c>
      <c r="W9" s="1" t="s">
        <v>33</v>
      </c>
      <c r="X9" s="1" t="s">
        <v>28</v>
      </c>
      <c r="Y9" s="1" t="s">
        <v>28</v>
      </c>
      <c r="Z9" s="1" t="s">
        <v>28</v>
      </c>
      <c r="AA9" s="1" t="s">
        <v>28</v>
      </c>
    </row>
    <row r="10" spans="1:28" x14ac:dyDescent="0.35">
      <c r="A10" t="s">
        <v>166</v>
      </c>
      <c r="B10">
        <v>327543</v>
      </c>
      <c r="C10" s="1" t="s">
        <v>28</v>
      </c>
      <c r="D10" s="11">
        <v>-2411.63</v>
      </c>
      <c r="E10" s="1" t="s">
        <v>35</v>
      </c>
      <c r="F10">
        <v>40110</v>
      </c>
      <c r="G10" s="2">
        <v>45991</v>
      </c>
      <c r="H10" s="1" t="s">
        <v>28</v>
      </c>
      <c r="I10" s="1" t="s">
        <v>28</v>
      </c>
      <c r="J10">
        <v>2</v>
      </c>
      <c r="K10" s="1" t="s">
        <v>36</v>
      </c>
      <c r="L10" s="1" t="s">
        <v>28</v>
      </c>
      <c r="O10" s="1" t="s">
        <v>28</v>
      </c>
      <c r="P10" s="1" t="s">
        <v>37</v>
      </c>
      <c r="Q10" s="1" t="s">
        <v>31</v>
      </c>
      <c r="R10" s="1" t="s">
        <v>38</v>
      </c>
      <c r="S10" s="1" t="s">
        <v>39</v>
      </c>
      <c r="T10" s="1" t="s">
        <v>40</v>
      </c>
      <c r="U10" s="1" t="s">
        <v>32</v>
      </c>
      <c r="V10">
        <v>1944733</v>
      </c>
      <c r="W10" s="1" t="s">
        <v>33</v>
      </c>
      <c r="X10" s="1" t="s">
        <v>28</v>
      </c>
      <c r="Y10" s="1" t="s">
        <v>28</v>
      </c>
      <c r="Z10" s="1" t="s">
        <v>28</v>
      </c>
      <c r="AA10" s="1" t="s">
        <v>28</v>
      </c>
    </row>
    <row r="11" spans="1:28" x14ac:dyDescent="0.35">
      <c r="A11" t="s">
        <v>166</v>
      </c>
      <c r="B11">
        <v>327543</v>
      </c>
      <c r="C11" s="1" t="s">
        <v>28</v>
      </c>
      <c r="D11" s="11">
        <v>-3720.31</v>
      </c>
      <c r="E11" s="1" t="s">
        <v>35</v>
      </c>
      <c r="F11">
        <v>40111</v>
      </c>
      <c r="G11" s="2">
        <v>45991</v>
      </c>
      <c r="H11" s="1" t="s">
        <v>28</v>
      </c>
      <c r="I11" s="1" t="s">
        <v>28</v>
      </c>
      <c r="J11">
        <v>2</v>
      </c>
      <c r="K11" s="1" t="s">
        <v>36</v>
      </c>
      <c r="L11" s="1" t="s">
        <v>28</v>
      </c>
      <c r="O11" s="1" t="s">
        <v>28</v>
      </c>
      <c r="P11" s="1" t="s">
        <v>37</v>
      </c>
      <c r="Q11" s="1" t="s">
        <v>31</v>
      </c>
      <c r="R11" s="1" t="s">
        <v>38</v>
      </c>
      <c r="S11" s="1" t="s">
        <v>39</v>
      </c>
      <c r="T11" s="1" t="s">
        <v>40</v>
      </c>
      <c r="U11" s="1" t="s">
        <v>32</v>
      </c>
      <c r="V11">
        <v>1944733</v>
      </c>
      <c r="W11" s="1" t="s">
        <v>33</v>
      </c>
      <c r="X11" s="1" t="s">
        <v>28</v>
      </c>
      <c r="Y11" s="1" t="s">
        <v>28</v>
      </c>
      <c r="Z11" s="1" t="s">
        <v>28</v>
      </c>
      <c r="AA11" s="1" t="s">
        <v>28</v>
      </c>
    </row>
    <row r="12" spans="1:28" x14ac:dyDescent="0.35">
      <c r="A12" t="s">
        <v>166</v>
      </c>
      <c r="B12">
        <v>327543</v>
      </c>
      <c r="C12" s="1" t="s">
        <v>28</v>
      </c>
      <c r="D12" s="11">
        <v>-307494.69</v>
      </c>
      <c r="E12" s="1" t="s">
        <v>35</v>
      </c>
      <c r="F12">
        <v>40112</v>
      </c>
      <c r="G12" s="2">
        <v>45991</v>
      </c>
      <c r="H12" s="1" t="s">
        <v>28</v>
      </c>
      <c r="I12" s="1" t="s">
        <v>28</v>
      </c>
      <c r="J12">
        <v>2</v>
      </c>
      <c r="K12" s="1" t="s">
        <v>36</v>
      </c>
      <c r="L12" s="1" t="s">
        <v>28</v>
      </c>
      <c r="O12" s="1" t="s">
        <v>28</v>
      </c>
      <c r="P12" s="1" t="s">
        <v>37</v>
      </c>
      <c r="Q12" s="1" t="s">
        <v>31</v>
      </c>
      <c r="R12" s="1" t="s">
        <v>38</v>
      </c>
      <c r="S12" s="1" t="s">
        <v>39</v>
      </c>
      <c r="T12" s="1" t="s">
        <v>40</v>
      </c>
      <c r="U12" s="1" t="s">
        <v>32</v>
      </c>
      <c r="V12">
        <v>1944733</v>
      </c>
      <c r="W12" s="1" t="s">
        <v>33</v>
      </c>
      <c r="X12" s="1" t="s">
        <v>28</v>
      </c>
      <c r="Y12" s="1" t="s">
        <v>28</v>
      </c>
      <c r="Z12" s="1" t="s">
        <v>28</v>
      </c>
      <c r="AA12" s="1" t="s">
        <v>28</v>
      </c>
    </row>
    <row r="13" spans="1:28" x14ac:dyDescent="0.35">
      <c r="A13" t="s">
        <v>166</v>
      </c>
      <c r="B13">
        <v>327543</v>
      </c>
      <c r="C13" s="1" t="s">
        <v>28</v>
      </c>
      <c r="D13" s="11">
        <v>-105222.66</v>
      </c>
      <c r="E13" s="1" t="s">
        <v>35</v>
      </c>
      <c r="F13">
        <v>40113</v>
      </c>
      <c r="G13" s="2">
        <v>45991</v>
      </c>
      <c r="H13" s="1" t="s">
        <v>28</v>
      </c>
      <c r="I13" s="1" t="s">
        <v>28</v>
      </c>
      <c r="J13">
        <v>2</v>
      </c>
      <c r="K13" s="1" t="s">
        <v>36</v>
      </c>
      <c r="L13" s="1" t="s">
        <v>28</v>
      </c>
      <c r="O13" s="1" t="s">
        <v>28</v>
      </c>
      <c r="P13" s="1" t="s">
        <v>37</v>
      </c>
      <c r="Q13" s="1" t="s">
        <v>31</v>
      </c>
      <c r="R13" s="1" t="s">
        <v>38</v>
      </c>
      <c r="S13" s="1" t="s">
        <v>39</v>
      </c>
      <c r="T13" s="1" t="s">
        <v>40</v>
      </c>
      <c r="U13" s="1" t="s">
        <v>32</v>
      </c>
      <c r="V13">
        <v>1944733</v>
      </c>
      <c r="W13" s="1" t="s">
        <v>33</v>
      </c>
      <c r="X13" s="1" t="s">
        <v>28</v>
      </c>
      <c r="Y13" s="1" t="s">
        <v>28</v>
      </c>
      <c r="Z13" s="1" t="s">
        <v>28</v>
      </c>
      <c r="AA13" s="1" t="s">
        <v>28</v>
      </c>
    </row>
    <row r="14" spans="1:28" x14ac:dyDescent="0.35">
      <c r="A14" t="s">
        <v>166</v>
      </c>
      <c r="B14">
        <v>327543</v>
      </c>
      <c r="C14" s="1" t="s">
        <v>28</v>
      </c>
      <c r="D14" s="11">
        <v>-36591.56</v>
      </c>
      <c r="E14" s="1" t="s">
        <v>35</v>
      </c>
      <c r="F14">
        <v>40114</v>
      </c>
      <c r="G14" s="2">
        <v>45991</v>
      </c>
      <c r="H14" s="1" t="s">
        <v>28</v>
      </c>
      <c r="I14" s="1" t="s">
        <v>28</v>
      </c>
      <c r="J14">
        <v>2</v>
      </c>
      <c r="K14" s="1" t="s">
        <v>36</v>
      </c>
      <c r="L14" s="1" t="s">
        <v>28</v>
      </c>
      <c r="O14" s="1" t="s">
        <v>28</v>
      </c>
      <c r="P14" s="1" t="s">
        <v>37</v>
      </c>
      <c r="Q14" s="1" t="s">
        <v>31</v>
      </c>
      <c r="R14" s="1" t="s">
        <v>38</v>
      </c>
      <c r="S14" s="1" t="s">
        <v>39</v>
      </c>
      <c r="T14" s="1" t="s">
        <v>40</v>
      </c>
      <c r="U14" s="1" t="s">
        <v>32</v>
      </c>
      <c r="V14">
        <v>1944733</v>
      </c>
      <c r="W14" s="1" t="s">
        <v>33</v>
      </c>
      <c r="X14" s="1" t="s">
        <v>28</v>
      </c>
      <c r="Y14" s="1" t="s">
        <v>28</v>
      </c>
      <c r="Z14" s="1" t="s">
        <v>28</v>
      </c>
      <c r="AA14" s="1" t="s">
        <v>28</v>
      </c>
    </row>
    <row r="15" spans="1:28" x14ac:dyDescent="0.35">
      <c r="A15" t="s">
        <v>166</v>
      </c>
      <c r="B15">
        <v>327543</v>
      </c>
      <c r="C15" s="1" t="s">
        <v>28</v>
      </c>
      <c r="D15" s="11">
        <v>-243600.51</v>
      </c>
      <c r="E15" s="1" t="s">
        <v>35</v>
      </c>
      <c r="F15">
        <v>40115</v>
      </c>
      <c r="G15" s="2">
        <v>45991</v>
      </c>
      <c r="H15" s="1" t="s">
        <v>28</v>
      </c>
      <c r="I15" s="1" t="s">
        <v>28</v>
      </c>
      <c r="J15">
        <v>2</v>
      </c>
      <c r="K15" s="1" t="s">
        <v>36</v>
      </c>
      <c r="L15" s="1" t="s">
        <v>28</v>
      </c>
      <c r="O15" s="1" t="s">
        <v>28</v>
      </c>
      <c r="P15" s="1" t="s">
        <v>37</v>
      </c>
      <c r="Q15" s="1" t="s">
        <v>31</v>
      </c>
      <c r="R15" s="1" t="s">
        <v>38</v>
      </c>
      <c r="S15" s="1" t="s">
        <v>39</v>
      </c>
      <c r="T15" s="1" t="s">
        <v>40</v>
      </c>
      <c r="U15" s="1" t="s">
        <v>32</v>
      </c>
      <c r="V15">
        <v>1944733</v>
      </c>
      <c r="W15" s="1" t="s">
        <v>33</v>
      </c>
      <c r="X15" s="1" t="s">
        <v>28</v>
      </c>
      <c r="Y15" s="1" t="s">
        <v>28</v>
      </c>
      <c r="Z15" s="1" t="s">
        <v>28</v>
      </c>
      <c r="AA15" s="1" t="s">
        <v>28</v>
      </c>
    </row>
    <row r="16" spans="1:28" x14ac:dyDescent="0.35">
      <c r="A16" t="s">
        <v>166</v>
      </c>
      <c r="B16">
        <v>327543</v>
      </c>
      <c r="C16" s="1" t="s">
        <v>28</v>
      </c>
      <c r="D16" s="11">
        <v>-74980.13</v>
      </c>
      <c r="E16" s="1" t="s">
        <v>35</v>
      </c>
      <c r="F16">
        <v>40116</v>
      </c>
      <c r="G16" s="2">
        <v>45991</v>
      </c>
      <c r="H16" s="1" t="s">
        <v>28</v>
      </c>
      <c r="I16" s="1" t="s">
        <v>28</v>
      </c>
      <c r="J16">
        <v>2</v>
      </c>
      <c r="K16" s="1" t="s">
        <v>36</v>
      </c>
      <c r="L16" s="1" t="s">
        <v>28</v>
      </c>
      <c r="O16" s="1" t="s">
        <v>28</v>
      </c>
      <c r="P16" s="1" t="s">
        <v>37</v>
      </c>
      <c r="Q16" s="1" t="s">
        <v>31</v>
      </c>
      <c r="R16" s="1" t="s">
        <v>38</v>
      </c>
      <c r="S16" s="1" t="s">
        <v>39</v>
      </c>
      <c r="T16" s="1" t="s">
        <v>40</v>
      </c>
      <c r="U16" s="1" t="s">
        <v>32</v>
      </c>
      <c r="V16">
        <v>1944733</v>
      </c>
      <c r="W16" s="1" t="s">
        <v>33</v>
      </c>
      <c r="X16" s="1" t="s">
        <v>28</v>
      </c>
      <c r="Y16" s="1" t="s">
        <v>28</v>
      </c>
      <c r="Z16" s="1" t="s">
        <v>28</v>
      </c>
      <c r="AA16" s="1" t="s">
        <v>28</v>
      </c>
    </row>
    <row r="17" spans="1:27" x14ac:dyDescent="0.35">
      <c r="A17" t="s">
        <v>166</v>
      </c>
      <c r="B17">
        <v>327543</v>
      </c>
      <c r="C17" s="1" t="s">
        <v>28</v>
      </c>
      <c r="D17" s="11">
        <v>-41945.47</v>
      </c>
      <c r="E17" s="1" t="s">
        <v>35</v>
      </c>
      <c r="F17">
        <v>40117</v>
      </c>
      <c r="G17" s="2">
        <v>45991</v>
      </c>
      <c r="I17" s="1" t="s">
        <v>28</v>
      </c>
      <c r="J17">
        <v>2</v>
      </c>
      <c r="K17" s="1" t="s">
        <v>36</v>
      </c>
      <c r="L17" s="1" t="s">
        <v>28</v>
      </c>
      <c r="O17" s="1" t="s">
        <v>28</v>
      </c>
      <c r="P17" s="1" t="s">
        <v>37</v>
      </c>
      <c r="Q17" s="1" t="s">
        <v>31</v>
      </c>
      <c r="R17" s="1" t="s">
        <v>38</v>
      </c>
      <c r="S17" s="1" t="s">
        <v>39</v>
      </c>
      <c r="T17" s="1" t="s">
        <v>40</v>
      </c>
      <c r="U17" s="1" t="s">
        <v>32</v>
      </c>
      <c r="V17">
        <v>1944733</v>
      </c>
      <c r="W17" s="1" t="s">
        <v>33</v>
      </c>
      <c r="X17" s="1" t="s">
        <v>28</v>
      </c>
      <c r="Y17" s="1" t="s">
        <v>28</v>
      </c>
      <c r="Z17" s="1" t="s">
        <v>28</v>
      </c>
      <c r="AA17" s="1" t="s">
        <v>28</v>
      </c>
    </row>
    <row r="18" spans="1:27" x14ac:dyDescent="0.35">
      <c r="A18" t="s">
        <v>166</v>
      </c>
      <c r="B18">
        <v>327543</v>
      </c>
      <c r="C18" s="1" t="s">
        <v>28</v>
      </c>
      <c r="D18" s="11">
        <v>108810.52</v>
      </c>
      <c r="E18" s="1" t="s">
        <v>35</v>
      </c>
      <c r="F18">
        <v>40118</v>
      </c>
      <c r="G18" s="2">
        <v>45991</v>
      </c>
      <c r="H18" s="1" t="s">
        <v>28</v>
      </c>
      <c r="I18" s="1" t="s">
        <v>28</v>
      </c>
      <c r="J18">
        <v>2</v>
      </c>
      <c r="K18" s="1" t="s">
        <v>36</v>
      </c>
      <c r="L18" s="1" t="s">
        <v>28</v>
      </c>
      <c r="O18" s="1" t="s">
        <v>28</v>
      </c>
      <c r="P18" s="1" t="s">
        <v>37</v>
      </c>
      <c r="Q18" s="1" t="s">
        <v>31</v>
      </c>
      <c r="R18" s="1" t="s">
        <v>38</v>
      </c>
      <c r="S18" s="1" t="s">
        <v>39</v>
      </c>
      <c r="T18" s="1" t="s">
        <v>40</v>
      </c>
      <c r="U18" s="1" t="s">
        <v>32</v>
      </c>
      <c r="V18">
        <v>1944733</v>
      </c>
      <c r="W18" s="1" t="s">
        <v>33</v>
      </c>
      <c r="X18" s="1" t="s">
        <v>28</v>
      </c>
      <c r="Y18" s="1" t="s">
        <v>28</v>
      </c>
      <c r="Z18" s="1" t="s">
        <v>28</v>
      </c>
      <c r="AA18" s="1" t="s">
        <v>28</v>
      </c>
    </row>
    <row r="19" spans="1:27" x14ac:dyDescent="0.35">
      <c r="A19" t="s">
        <v>166</v>
      </c>
      <c r="B19">
        <v>327543</v>
      </c>
      <c r="C19" s="1" t="s">
        <v>28</v>
      </c>
      <c r="D19" s="11">
        <v>-212457.88</v>
      </c>
      <c r="E19" s="1" t="s">
        <v>35</v>
      </c>
      <c r="F19">
        <v>40119</v>
      </c>
      <c r="G19" s="2">
        <v>45991</v>
      </c>
      <c r="H19" s="1" t="s">
        <v>28</v>
      </c>
      <c r="I19" s="1" t="s">
        <v>28</v>
      </c>
      <c r="J19">
        <v>2</v>
      </c>
      <c r="K19" s="1" t="s">
        <v>36</v>
      </c>
      <c r="L19" s="1" t="s">
        <v>28</v>
      </c>
      <c r="O19" s="1" t="s">
        <v>28</v>
      </c>
      <c r="P19" s="1" t="s">
        <v>37</v>
      </c>
      <c r="Q19" s="1" t="s">
        <v>31</v>
      </c>
      <c r="R19" s="1" t="s">
        <v>38</v>
      </c>
      <c r="S19" s="1" t="s">
        <v>41</v>
      </c>
      <c r="T19" s="1" t="s">
        <v>40</v>
      </c>
      <c r="U19" s="1" t="s">
        <v>32</v>
      </c>
      <c r="V19">
        <v>1944733</v>
      </c>
      <c r="W19" s="1" t="s">
        <v>33</v>
      </c>
      <c r="X19" s="1" t="s">
        <v>28</v>
      </c>
      <c r="Y19" s="1" t="s">
        <v>28</v>
      </c>
      <c r="Z19" s="1" t="s">
        <v>28</v>
      </c>
      <c r="AA19" s="1" t="s">
        <v>28</v>
      </c>
    </row>
    <row r="20" spans="1:27" x14ac:dyDescent="0.35">
      <c r="A20" t="s">
        <v>166</v>
      </c>
      <c r="B20">
        <v>327543</v>
      </c>
      <c r="C20" s="1" t="s">
        <v>28</v>
      </c>
      <c r="D20" s="11">
        <v>-1551042.5600000001</v>
      </c>
      <c r="E20" s="1" t="s">
        <v>35</v>
      </c>
      <c r="F20">
        <v>40121</v>
      </c>
      <c r="G20" s="2">
        <v>45991</v>
      </c>
      <c r="H20" s="1" t="s">
        <v>28</v>
      </c>
      <c r="I20" s="1" t="s">
        <v>28</v>
      </c>
      <c r="J20">
        <v>2</v>
      </c>
      <c r="K20" s="1" t="s">
        <v>36</v>
      </c>
      <c r="L20" s="1" t="s">
        <v>28</v>
      </c>
      <c r="O20" s="1" t="s">
        <v>28</v>
      </c>
      <c r="P20" s="1" t="s">
        <v>37</v>
      </c>
      <c r="Q20" s="1" t="s">
        <v>31</v>
      </c>
      <c r="R20" s="1" t="s">
        <v>38</v>
      </c>
      <c r="S20" s="1" t="s">
        <v>42</v>
      </c>
      <c r="T20" s="1" t="s">
        <v>40</v>
      </c>
      <c r="U20" s="1" t="s">
        <v>32</v>
      </c>
      <c r="V20">
        <v>1944733</v>
      </c>
      <c r="W20" s="1" t="s">
        <v>33</v>
      </c>
      <c r="X20" s="1" t="s">
        <v>28</v>
      </c>
      <c r="Y20" s="1" t="s">
        <v>28</v>
      </c>
      <c r="Z20" s="1" t="s">
        <v>28</v>
      </c>
      <c r="AA20" s="1" t="s">
        <v>28</v>
      </c>
    </row>
    <row r="21" spans="1:27" x14ac:dyDescent="0.35">
      <c r="A21" t="s">
        <v>166</v>
      </c>
      <c r="B21">
        <v>327543</v>
      </c>
      <c r="C21" s="1" t="s">
        <v>28</v>
      </c>
      <c r="D21" s="11">
        <v>-415836.5</v>
      </c>
      <c r="E21" s="1" t="s">
        <v>35</v>
      </c>
      <c r="F21">
        <v>40122</v>
      </c>
      <c r="G21" s="2">
        <v>45991</v>
      </c>
      <c r="H21" s="1" t="s">
        <v>28</v>
      </c>
      <c r="I21" s="1" t="s">
        <v>28</v>
      </c>
      <c r="J21">
        <v>2</v>
      </c>
      <c r="K21" s="1" t="s">
        <v>36</v>
      </c>
      <c r="L21" s="1" t="s">
        <v>28</v>
      </c>
      <c r="O21" s="1" t="s">
        <v>28</v>
      </c>
      <c r="P21" s="1" t="s">
        <v>37</v>
      </c>
      <c r="Q21" s="1" t="s">
        <v>31</v>
      </c>
      <c r="R21" s="1" t="s">
        <v>38</v>
      </c>
      <c r="S21" s="1" t="s">
        <v>42</v>
      </c>
      <c r="T21" s="1" t="s">
        <v>40</v>
      </c>
      <c r="U21" s="1" t="s">
        <v>32</v>
      </c>
      <c r="V21">
        <v>1944733</v>
      </c>
      <c r="W21" s="1" t="s">
        <v>33</v>
      </c>
      <c r="X21" s="1" t="s">
        <v>28</v>
      </c>
      <c r="Y21" s="1" t="s">
        <v>28</v>
      </c>
      <c r="Z21" s="1" t="s">
        <v>28</v>
      </c>
      <c r="AA21" s="1" t="s">
        <v>28</v>
      </c>
    </row>
    <row r="22" spans="1:27" x14ac:dyDescent="0.35">
      <c r="A22" t="s">
        <v>166</v>
      </c>
      <c r="B22">
        <v>327543</v>
      </c>
      <c r="C22" s="1" t="s">
        <v>28</v>
      </c>
      <c r="D22" s="11">
        <v>286958.42</v>
      </c>
      <c r="E22" s="1" t="s">
        <v>35</v>
      </c>
      <c r="F22">
        <v>40123</v>
      </c>
      <c r="G22" s="2">
        <v>45991</v>
      </c>
      <c r="H22" s="1" t="s">
        <v>28</v>
      </c>
      <c r="I22" s="1" t="s">
        <v>28</v>
      </c>
      <c r="J22">
        <v>2</v>
      </c>
      <c r="K22" s="1" t="s">
        <v>36</v>
      </c>
      <c r="L22" s="1" t="s">
        <v>28</v>
      </c>
      <c r="O22" s="1" t="s">
        <v>28</v>
      </c>
      <c r="P22" s="1" t="s">
        <v>37</v>
      </c>
      <c r="Q22" s="1" t="s">
        <v>31</v>
      </c>
      <c r="R22" s="1" t="s">
        <v>38</v>
      </c>
      <c r="S22" s="1" t="s">
        <v>43</v>
      </c>
      <c r="T22" s="1" t="s">
        <v>40</v>
      </c>
      <c r="U22" s="1" t="s">
        <v>32</v>
      </c>
      <c r="V22">
        <v>1944733</v>
      </c>
      <c r="W22" s="1" t="s">
        <v>33</v>
      </c>
      <c r="X22" s="1" t="s">
        <v>28</v>
      </c>
      <c r="Y22" s="1" t="s">
        <v>28</v>
      </c>
      <c r="Z22" s="1" t="s">
        <v>28</v>
      </c>
      <c r="AA22" s="1" t="s">
        <v>28</v>
      </c>
    </row>
    <row r="23" spans="1:27" x14ac:dyDescent="0.35">
      <c r="A23" t="s">
        <v>166</v>
      </c>
      <c r="B23">
        <v>327543</v>
      </c>
      <c r="C23" s="1" t="s">
        <v>28</v>
      </c>
      <c r="D23" s="11">
        <v>220423.05</v>
      </c>
      <c r="E23" s="1" t="s">
        <v>35</v>
      </c>
      <c r="F23">
        <v>40124</v>
      </c>
      <c r="G23" s="2">
        <v>45991</v>
      </c>
      <c r="H23" s="1" t="s">
        <v>28</v>
      </c>
      <c r="I23" s="1" t="s">
        <v>28</v>
      </c>
      <c r="J23">
        <v>2</v>
      </c>
      <c r="K23" s="1" t="s">
        <v>36</v>
      </c>
      <c r="L23" s="1" t="s">
        <v>28</v>
      </c>
      <c r="O23" s="1" t="s">
        <v>28</v>
      </c>
      <c r="P23" s="1" t="s">
        <v>37</v>
      </c>
      <c r="Q23" s="1" t="s">
        <v>31</v>
      </c>
      <c r="R23" s="1" t="s">
        <v>38</v>
      </c>
      <c r="S23" s="1" t="s">
        <v>43</v>
      </c>
      <c r="T23" s="1" t="s">
        <v>40</v>
      </c>
      <c r="U23" s="1" t="s">
        <v>32</v>
      </c>
      <c r="V23">
        <v>1944733</v>
      </c>
      <c r="W23" s="1" t="s">
        <v>33</v>
      </c>
      <c r="X23" s="1" t="s">
        <v>28</v>
      </c>
      <c r="Y23" s="1" t="s">
        <v>28</v>
      </c>
      <c r="Z23" s="1" t="s">
        <v>28</v>
      </c>
      <c r="AA23" s="1" t="s">
        <v>28</v>
      </c>
    </row>
    <row r="24" spans="1:27" x14ac:dyDescent="0.35">
      <c r="A24" t="s">
        <v>166</v>
      </c>
      <c r="B24">
        <v>439097</v>
      </c>
      <c r="C24" s="1" t="s">
        <v>28</v>
      </c>
      <c r="D24" s="11">
        <v>9133.08</v>
      </c>
      <c r="E24" s="1" t="s">
        <v>35</v>
      </c>
      <c r="F24">
        <v>40125</v>
      </c>
      <c r="G24" s="2">
        <v>45991</v>
      </c>
      <c r="H24" s="1" t="s">
        <v>28</v>
      </c>
      <c r="I24" s="1" t="s">
        <v>28</v>
      </c>
      <c r="J24">
        <v>3</v>
      </c>
      <c r="K24" s="1" t="s">
        <v>36</v>
      </c>
      <c r="L24" s="1" t="s">
        <v>28</v>
      </c>
      <c r="O24" s="1" t="s">
        <v>28</v>
      </c>
      <c r="P24" s="1" t="s">
        <v>44</v>
      </c>
      <c r="Q24" s="1" t="s">
        <v>31</v>
      </c>
      <c r="R24" s="1" t="s">
        <v>38</v>
      </c>
      <c r="S24" s="1" t="s">
        <v>45</v>
      </c>
      <c r="T24" s="1" t="s">
        <v>40</v>
      </c>
      <c r="U24" s="1" t="s">
        <v>32</v>
      </c>
      <c r="V24">
        <v>1944733</v>
      </c>
      <c r="W24" s="1" t="s">
        <v>33</v>
      </c>
      <c r="X24" s="1" t="s">
        <v>28</v>
      </c>
      <c r="Y24" s="1" t="s">
        <v>28</v>
      </c>
      <c r="Z24" s="1" t="s">
        <v>28</v>
      </c>
      <c r="AA24" s="1" t="s">
        <v>28</v>
      </c>
    </row>
    <row r="25" spans="1:27" x14ac:dyDescent="0.35">
      <c r="A25" t="s">
        <v>166</v>
      </c>
      <c r="B25">
        <v>327543</v>
      </c>
      <c r="C25" s="1" t="s">
        <v>28</v>
      </c>
      <c r="D25" s="11">
        <v>54584.11</v>
      </c>
      <c r="E25" s="1" t="s">
        <v>35</v>
      </c>
      <c r="F25">
        <v>40125</v>
      </c>
      <c r="G25" s="2">
        <v>45991</v>
      </c>
      <c r="H25" s="1" t="s">
        <v>28</v>
      </c>
      <c r="I25" s="1" t="s">
        <v>28</v>
      </c>
      <c r="J25">
        <v>4</v>
      </c>
      <c r="K25" s="1" t="s">
        <v>36</v>
      </c>
      <c r="L25" s="1" t="s">
        <v>28</v>
      </c>
      <c r="O25" s="1" t="s">
        <v>28</v>
      </c>
      <c r="P25" s="1" t="s">
        <v>37</v>
      </c>
      <c r="Q25" s="1" t="s">
        <v>31</v>
      </c>
      <c r="R25" s="1" t="s">
        <v>38</v>
      </c>
      <c r="S25" s="1" t="s">
        <v>45</v>
      </c>
      <c r="T25" s="1" t="s">
        <v>40</v>
      </c>
      <c r="U25" s="1" t="s">
        <v>32</v>
      </c>
      <c r="V25">
        <v>1944733</v>
      </c>
      <c r="W25" s="1" t="s">
        <v>33</v>
      </c>
      <c r="X25" s="1" t="s">
        <v>28</v>
      </c>
      <c r="Y25" s="1" t="s">
        <v>28</v>
      </c>
      <c r="Z25" s="1" t="s">
        <v>28</v>
      </c>
      <c r="AA25" s="1" t="s">
        <v>28</v>
      </c>
    </row>
    <row r="26" spans="1:27" x14ac:dyDescent="0.35">
      <c r="A26" t="s">
        <v>166</v>
      </c>
      <c r="B26">
        <v>439097</v>
      </c>
      <c r="C26" s="1" t="s">
        <v>28</v>
      </c>
      <c r="D26" s="11">
        <v>7497.97</v>
      </c>
      <c r="E26" s="1" t="s">
        <v>35</v>
      </c>
      <c r="F26">
        <v>40126</v>
      </c>
      <c r="G26" s="2">
        <v>45991</v>
      </c>
      <c r="H26" s="1" t="s">
        <v>28</v>
      </c>
      <c r="I26" s="1" t="s">
        <v>28</v>
      </c>
      <c r="J26">
        <v>3</v>
      </c>
      <c r="K26" s="1" t="s">
        <v>36</v>
      </c>
      <c r="L26" s="1" t="s">
        <v>28</v>
      </c>
      <c r="O26" s="1" t="s">
        <v>28</v>
      </c>
      <c r="P26" s="1" t="s">
        <v>44</v>
      </c>
      <c r="Q26" s="1" t="s">
        <v>31</v>
      </c>
      <c r="R26" s="1" t="s">
        <v>38</v>
      </c>
      <c r="S26" s="1" t="s">
        <v>45</v>
      </c>
      <c r="T26" s="1" t="s">
        <v>40</v>
      </c>
      <c r="U26" s="1" t="s">
        <v>32</v>
      </c>
      <c r="V26">
        <v>1944733</v>
      </c>
      <c r="W26" s="1" t="s">
        <v>33</v>
      </c>
      <c r="X26" s="1" t="s">
        <v>28</v>
      </c>
      <c r="Y26" s="1" t="s">
        <v>28</v>
      </c>
      <c r="Z26" s="1" t="s">
        <v>28</v>
      </c>
      <c r="AA26" s="1" t="s">
        <v>28</v>
      </c>
    </row>
    <row r="27" spans="1:27" x14ac:dyDescent="0.35">
      <c r="A27" t="s">
        <v>166</v>
      </c>
      <c r="B27">
        <v>327543</v>
      </c>
      <c r="C27" s="1" t="s">
        <v>28</v>
      </c>
      <c r="D27" s="11">
        <v>45768.54</v>
      </c>
      <c r="E27" s="1" t="s">
        <v>35</v>
      </c>
      <c r="F27">
        <v>40126</v>
      </c>
      <c r="G27" s="2">
        <v>45991</v>
      </c>
      <c r="H27" s="1" t="s">
        <v>28</v>
      </c>
      <c r="I27" s="1" t="s">
        <v>28</v>
      </c>
      <c r="J27">
        <v>4</v>
      </c>
      <c r="K27" s="1" t="s">
        <v>36</v>
      </c>
      <c r="L27" s="1" t="s">
        <v>28</v>
      </c>
      <c r="O27" s="1" t="s">
        <v>28</v>
      </c>
      <c r="P27" s="1" t="s">
        <v>37</v>
      </c>
      <c r="Q27" s="1" t="s">
        <v>31</v>
      </c>
      <c r="R27" s="1" t="s">
        <v>38</v>
      </c>
      <c r="S27" s="1" t="s">
        <v>45</v>
      </c>
      <c r="T27" s="1" t="s">
        <v>40</v>
      </c>
      <c r="U27" s="1" t="s">
        <v>32</v>
      </c>
      <c r="V27">
        <v>1944733</v>
      </c>
      <c r="W27" s="1" t="s">
        <v>33</v>
      </c>
      <c r="X27" s="1" t="s">
        <v>28</v>
      </c>
      <c r="Y27" s="1" t="s">
        <v>28</v>
      </c>
      <c r="Z27" s="1" t="s">
        <v>28</v>
      </c>
      <c r="AA27" s="1" t="s">
        <v>28</v>
      </c>
    </row>
    <row r="28" spans="1:27" x14ac:dyDescent="0.35">
      <c r="A28" t="s">
        <v>166</v>
      </c>
      <c r="B28">
        <v>439097</v>
      </c>
      <c r="C28" s="1" t="s">
        <v>28</v>
      </c>
      <c r="D28" s="11">
        <v>56765.83</v>
      </c>
      <c r="E28" s="1" t="s">
        <v>35</v>
      </c>
      <c r="F28">
        <v>40127</v>
      </c>
      <c r="G28" s="2">
        <v>45991</v>
      </c>
      <c r="H28" s="1" t="s">
        <v>28</v>
      </c>
      <c r="I28" s="1" t="s">
        <v>28</v>
      </c>
      <c r="J28">
        <v>3</v>
      </c>
      <c r="K28" s="1" t="s">
        <v>36</v>
      </c>
      <c r="L28" s="1" t="s">
        <v>28</v>
      </c>
      <c r="O28" s="1" t="s">
        <v>28</v>
      </c>
      <c r="P28" s="1" t="s">
        <v>44</v>
      </c>
      <c r="Q28" s="1" t="s">
        <v>31</v>
      </c>
      <c r="R28" s="1" t="s">
        <v>38</v>
      </c>
      <c r="S28" s="1" t="s">
        <v>45</v>
      </c>
      <c r="T28" s="1" t="s">
        <v>40</v>
      </c>
      <c r="U28" s="1" t="s">
        <v>32</v>
      </c>
      <c r="V28">
        <v>1944733</v>
      </c>
      <c r="W28" s="1" t="s">
        <v>33</v>
      </c>
      <c r="X28" s="1" t="s">
        <v>28</v>
      </c>
      <c r="Y28" s="1" t="s">
        <v>28</v>
      </c>
      <c r="Z28" s="1" t="s">
        <v>28</v>
      </c>
      <c r="AA28" s="1" t="s">
        <v>28</v>
      </c>
    </row>
    <row r="29" spans="1:27" x14ac:dyDescent="0.35">
      <c r="A29" t="s">
        <v>166</v>
      </c>
      <c r="B29">
        <v>327543</v>
      </c>
      <c r="C29" s="1" t="s">
        <v>28</v>
      </c>
      <c r="D29" s="11">
        <v>341673.86</v>
      </c>
      <c r="E29" s="1" t="s">
        <v>35</v>
      </c>
      <c r="F29">
        <v>40127</v>
      </c>
      <c r="G29" s="2">
        <v>45991</v>
      </c>
      <c r="H29" s="1" t="s">
        <v>28</v>
      </c>
      <c r="I29" s="1" t="s">
        <v>28</v>
      </c>
      <c r="J29">
        <v>4</v>
      </c>
      <c r="K29" s="1" t="s">
        <v>36</v>
      </c>
      <c r="L29" s="1" t="s">
        <v>28</v>
      </c>
      <c r="O29" s="1" t="s">
        <v>28</v>
      </c>
      <c r="P29" s="1" t="s">
        <v>37</v>
      </c>
      <c r="Q29" s="1" t="s">
        <v>31</v>
      </c>
      <c r="R29" s="1" t="s">
        <v>38</v>
      </c>
      <c r="S29" s="1" t="s">
        <v>45</v>
      </c>
      <c r="T29" s="1" t="s">
        <v>40</v>
      </c>
      <c r="U29" s="1" t="s">
        <v>32</v>
      </c>
      <c r="V29">
        <v>1944733</v>
      </c>
      <c r="W29" s="1" t="s">
        <v>33</v>
      </c>
      <c r="X29" s="1" t="s">
        <v>28</v>
      </c>
      <c r="Y29" s="1" t="s">
        <v>28</v>
      </c>
      <c r="Z29" s="1" t="s">
        <v>28</v>
      </c>
      <c r="AA29" s="1" t="s">
        <v>28</v>
      </c>
    </row>
    <row r="30" spans="1:27" x14ac:dyDescent="0.35">
      <c r="A30" t="s">
        <v>166</v>
      </c>
      <c r="B30">
        <v>439097</v>
      </c>
      <c r="C30" s="1" t="s">
        <v>28</v>
      </c>
      <c r="D30" s="11">
        <v>67348.399999999994</v>
      </c>
      <c r="E30" s="1" t="s">
        <v>35</v>
      </c>
      <c r="F30">
        <v>40128</v>
      </c>
      <c r="G30" s="2">
        <v>45991</v>
      </c>
      <c r="H30" s="1" t="s">
        <v>28</v>
      </c>
      <c r="I30" s="1" t="s">
        <v>28</v>
      </c>
      <c r="J30">
        <v>3</v>
      </c>
      <c r="K30" s="1" t="s">
        <v>36</v>
      </c>
      <c r="L30" s="1" t="s">
        <v>28</v>
      </c>
      <c r="O30" s="1" t="s">
        <v>28</v>
      </c>
      <c r="P30" s="1" t="s">
        <v>44</v>
      </c>
      <c r="Q30" s="1" t="s">
        <v>31</v>
      </c>
      <c r="R30" s="1" t="s">
        <v>38</v>
      </c>
      <c r="S30" s="1" t="s">
        <v>45</v>
      </c>
      <c r="T30" s="1" t="s">
        <v>40</v>
      </c>
      <c r="U30" s="1" t="s">
        <v>32</v>
      </c>
      <c r="V30">
        <v>1944733</v>
      </c>
      <c r="W30" s="1" t="s">
        <v>33</v>
      </c>
      <c r="X30" s="1" t="s">
        <v>28</v>
      </c>
      <c r="Y30" s="1" t="s">
        <v>28</v>
      </c>
      <c r="Z30" s="1" t="s">
        <v>28</v>
      </c>
      <c r="AA30" s="1" t="s">
        <v>28</v>
      </c>
    </row>
    <row r="31" spans="1:27" x14ac:dyDescent="0.35">
      <c r="A31" t="s">
        <v>166</v>
      </c>
      <c r="B31">
        <v>327543</v>
      </c>
      <c r="C31" s="1" t="s">
        <v>28</v>
      </c>
      <c r="D31" s="11">
        <v>412866.44</v>
      </c>
      <c r="E31" s="1" t="s">
        <v>35</v>
      </c>
      <c r="F31">
        <v>40128</v>
      </c>
      <c r="G31" s="2">
        <v>45991</v>
      </c>
      <c r="H31" s="1" t="s">
        <v>28</v>
      </c>
      <c r="I31" s="1" t="s">
        <v>28</v>
      </c>
      <c r="J31">
        <v>4</v>
      </c>
      <c r="K31" s="1" t="s">
        <v>36</v>
      </c>
      <c r="L31" s="1" t="s">
        <v>28</v>
      </c>
      <c r="O31" s="1" t="s">
        <v>28</v>
      </c>
      <c r="P31" s="1" t="s">
        <v>37</v>
      </c>
      <c r="Q31" s="1" t="s">
        <v>31</v>
      </c>
      <c r="R31" s="1" t="s">
        <v>38</v>
      </c>
      <c r="S31" s="1" t="s">
        <v>45</v>
      </c>
      <c r="T31" s="1" t="s">
        <v>40</v>
      </c>
      <c r="U31" s="1" t="s">
        <v>32</v>
      </c>
      <c r="V31">
        <v>1944733</v>
      </c>
      <c r="W31" s="1" t="s">
        <v>33</v>
      </c>
      <c r="X31" s="1" t="s">
        <v>28</v>
      </c>
      <c r="Y31" s="1" t="s">
        <v>28</v>
      </c>
      <c r="Z31" s="1" t="s">
        <v>28</v>
      </c>
      <c r="AA31" s="1" t="s">
        <v>28</v>
      </c>
    </row>
    <row r="32" spans="1:27" x14ac:dyDescent="0.35">
      <c r="A32" t="s">
        <v>166</v>
      </c>
      <c r="B32">
        <v>439097</v>
      </c>
      <c r="C32" s="1" t="s">
        <v>28</v>
      </c>
      <c r="D32" s="11">
        <v>97805.9</v>
      </c>
      <c r="E32" s="1" t="s">
        <v>35</v>
      </c>
      <c r="F32">
        <v>40129</v>
      </c>
      <c r="G32" s="2">
        <v>45991</v>
      </c>
      <c r="H32" s="1" t="s">
        <v>28</v>
      </c>
      <c r="I32" s="1" t="s">
        <v>28</v>
      </c>
      <c r="J32">
        <v>3</v>
      </c>
      <c r="K32" s="1" t="s">
        <v>36</v>
      </c>
      <c r="L32" s="1" t="s">
        <v>28</v>
      </c>
      <c r="O32" s="1" t="s">
        <v>28</v>
      </c>
      <c r="P32" s="1" t="s">
        <v>44</v>
      </c>
      <c r="Q32" s="1" t="s">
        <v>31</v>
      </c>
      <c r="R32" s="1" t="s">
        <v>38</v>
      </c>
      <c r="S32" s="1" t="s">
        <v>42</v>
      </c>
      <c r="T32" s="1" t="s">
        <v>40</v>
      </c>
      <c r="U32" s="1" t="s">
        <v>32</v>
      </c>
      <c r="V32">
        <v>1944733</v>
      </c>
      <c r="W32" s="1" t="s">
        <v>33</v>
      </c>
      <c r="X32" s="1" t="s">
        <v>28</v>
      </c>
      <c r="Y32" s="1" t="s">
        <v>28</v>
      </c>
      <c r="Z32" s="1" t="s">
        <v>28</v>
      </c>
      <c r="AA32" s="1" t="s">
        <v>28</v>
      </c>
    </row>
    <row r="33" spans="1:27" x14ac:dyDescent="0.35">
      <c r="A33" t="s">
        <v>166</v>
      </c>
      <c r="B33">
        <v>327543</v>
      </c>
      <c r="C33" s="1" t="s">
        <v>28</v>
      </c>
      <c r="D33" s="11">
        <v>641583.93999999994</v>
      </c>
      <c r="E33" s="1" t="s">
        <v>35</v>
      </c>
      <c r="F33">
        <v>40129</v>
      </c>
      <c r="G33" s="2">
        <v>45991</v>
      </c>
      <c r="H33" s="1" t="s">
        <v>28</v>
      </c>
      <c r="I33" s="1" t="s">
        <v>28</v>
      </c>
      <c r="J33">
        <v>4</v>
      </c>
      <c r="K33" s="1" t="s">
        <v>36</v>
      </c>
      <c r="L33" s="1" t="s">
        <v>28</v>
      </c>
      <c r="O33" s="1" t="s">
        <v>28</v>
      </c>
      <c r="P33" s="1" t="s">
        <v>37</v>
      </c>
      <c r="Q33" s="1" t="s">
        <v>31</v>
      </c>
      <c r="R33" s="1" t="s">
        <v>38</v>
      </c>
      <c r="S33" s="1" t="s">
        <v>42</v>
      </c>
      <c r="T33" s="1" t="s">
        <v>40</v>
      </c>
      <c r="U33" s="1" t="s">
        <v>32</v>
      </c>
      <c r="V33">
        <v>1944733</v>
      </c>
      <c r="W33" s="1" t="s">
        <v>33</v>
      </c>
      <c r="X33" s="1" t="s">
        <v>28</v>
      </c>
      <c r="Y33" s="1" t="s">
        <v>28</v>
      </c>
      <c r="Z33" s="1" t="s">
        <v>28</v>
      </c>
      <c r="AA33" s="1" t="s">
        <v>28</v>
      </c>
    </row>
    <row r="34" spans="1:27" x14ac:dyDescent="0.35">
      <c r="A34" t="s">
        <v>166</v>
      </c>
      <c r="B34">
        <v>439097</v>
      </c>
      <c r="C34" s="1" t="s">
        <v>28</v>
      </c>
      <c r="D34" s="11">
        <v>-187003.85</v>
      </c>
      <c r="E34" s="1" t="s">
        <v>35</v>
      </c>
      <c r="F34">
        <v>40130</v>
      </c>
      <c r="G34" s="2">
        <v>45991</v>
      </c>
      <c r="H34" s="1" t="s">
        <v>28</v>
      </c>
      <c r="I34" s="1" t="s">
        <v>28</v>
      </c>
      <c r="J34">
        <v>5</v>
      </c>
      <c r="K34" s="1" t="s">
        <v>36</v>
      </c>
      <c r="L34" s="1" t="s">
        <v>28</v>
      </c>
      <c r="O34" s="1" t="s">
        <v>28</v>
      </c>
      <c r="P34" s="1" t="s">
        <v>44</v>
      </c>
      <c r="Q34" s="1" t="s">
        <v>31</v>
      </c>
      <c r="R34" s="1" t="s">
        <v>38</v>
      </c>
      <c r="S34" s="1" t="s">
        <v>45</v>
      </c>
      <c r="T34" s="1" t="s">
        <v>40</v>
      </c>
      <c r="U34" s="1" t="s">
        <v>32</v>
      </c>
      <c r="V34">
        <v>1944733</v>
      </c>
      <c r="W34" s="1" t="s">
        <v>33</v>
      </c>
      <c r="X34" s="1" t="s">
        <v>28</v>
      </c>
      <c r="Y34" s="1" t="s">
        <v>28</v>
      </c>
      <c r="Z34" s="1" t="s">
        <v>28</v>
      </c>
      <c r="AA34" s="1" t="s">
        <v>28</v>
      </c>
    </row>
    <row r="35" spans="1:27" x14ac:dyDescent="0.35">
      <c r="A35" t="s">
        <v>167</v>
      </c>
      <c r="B35">
        <v>438068</v>
      </c>
      <c r="C35" s="1" t="s">
        <v>28</v>
      </c>
      <c r="D35" s="11">
        <v>-116927.79</v>
      </c>
      <c r="E35" s="1" t="s">
        <v>35</v>
      </c>
      <c r="F35">
        <v>40130</v>
      </c>
      <c r="G35" s="2">
        <v>45991</v>
      </c>
      <c r="H35" s="1" t="s">
        <v>28</v>
      </c>
      <c r="I35" s="1" t="s">
        <v>28</v>
      </c>
      <c r="J35">
        <v>6</v>
      </c>
      <c r="K35" s="1" t="s">
        <v>36</v>
      </c>
      <c r="L35" s="1" t="s">
        <v>28</v>
      </c>
      <c r="O35" s="1" t="s">
        <v>28</v>
      </c>
      <c r="P35" s="1" t="s">
        <v>46</v>
      </c>
      <c r="Q35" s="1" t="s">
        <v>31</v>
      </c>
      <c r="R35" s="1" t="s">
        <v>38</v>
      </c>
      <c r="S35" s="1" t="s">
        <v>45</v>
      </c>
      <c r="T35" s="1" t="s">
        <v>40</v>
      </c>
      <c r="U35" s="1" t="s">
        <v>32</v>
      </c>
      <c r="V35">
        <v>1944733</v>
      </c>
      <c r="W35" s="1" t="s">
        <v>33</v>
      </c>
      <c r="X35" s="1" t="s">
        <v>28</v>
      </c>
      <c r="Y35" s="1" t="s">
        <v>28</v>
      </c>
      <c r="Z35" s="1" t="s">
        <v>28</v>
      </c>
      <c r="AA35" s="1" t="s">
        <v>28</v>
      </c>
    </row>
    <row r="36" spans="1:27" x14ac:dyDescent="0.35">
      <c r="A36" t="s">
        <v>166</v>
      </c>
      <c r="B36">
        <v>327543</v>
      </c>
      <c r="C36" s="1" t="s">
        <v>28</v>
      </c>
      <c r="D36" s="11">
        <v>-1338221.06</v>
      </c>
      <c r="E36" s="1" t="s">
        <v>35</v>
      </c>
      <c r="F36">
        <v>40130</v>
      </c>
      <c r="G36" s="2">
        <v>45991</v>
      </c>
      <c r="H36" s="1" t="s">
        <v>28</v>
      </c>
      <c r="I36" s="1" t="s">
        <v>28</v>
      </c>
      <c r="J36">
        <v>7</v>
      </c>
      <c r="K36" s="1" t="s">
        <v>36</v>
      </c>
      <c r="L36" s="1" t="s">
        <v>28</v>
      </c>
      <c r="O36" s="1" t="s">
        <v>28</v>
      </c>
      <c r="P36" s="1" t="s">
        <v>37</v>
      </c>
      <c r="Q36" s="1" t="s">
        <v>31</v>
      </c>
      <c r="R36" s="1" t="s">
        <v>38</v>
      </c>
      <c r="S36" s="1" t="s">
        <v>45</v>
      </c>
      <c r="T36" s="1" t="s">
        <v>40</v>
      </c>
      <c r="U36" s="1" t="s">
        <v>32</v>
      </c>
      <c r="V36">
        <v>1944733</v>
      </c>
      <c r="W36" s="1" t="s">
        <v>33</v>
      </c>
      <c r="X36" s="1" t="s">
        <v>28</v>
      </c>
      <c r="Y36" s="1" t="s">
        <v>28</v>
      </c>
      <c r="Z36" s="1" t="s">
        <v>28</v>
      </c>
      <c r="AA36" s="1" t="s">
        <v>28</v>
      </c>
    </row>
    <row r="37" spans="1:27" x14ac:dyDescent="0.35">
      <c r="A37" t="s">
        <v>166</v>
      </c>
      <c r="B37">
        <v>439096</v>
      </c>
      <c r="C37" s="1" t="s">
        <v>28</v>
      </c>
      <c r="D37" s="11">
        <v>-36094.83</v>
      </c>
      <c r="E37" s="1" t="s">
        <v>35</v>
      </c>
      <c r="F37">
        <v>40130</v>
      </c>
      <c r="G37" s="2">
        <v>45991</v>
      </c>
      <c r="H37" s="1" t="s">
        <v>28</v>
      </c>
      <c r="I37" s="1" t="s">
        <v>28</v>
      </c>
      <c r="J37">
        <v>8</v>
      </c>
      <c r="K37" s="1" t="s">
        <v>36</v>
      </c>
      <c r="L37" s="1" t="s">
        <v>28</v>
      </c>
      <c r="O37" s="1" t="s">
        <v>28</v>
      </c>
      <c r="P37" s="1" t="s">
        <v>47</v>
      </c>
      <c r="Q37" s="1" t="s">
        <v>31</v>
      </c>
      <c r="R37" s="1" t="s">
        <v>38</v>
      </c>
      <c r="S37" s="1" t="s">
        <v>45</v>
      </c>
      <c r="T37" s="1" t="s">
        <v>40</v>
      </c>
      <c r="U37" s="1" t="s">
        <v>32</v>
      </c>
      <c r="V37">
        <v>1944733</v>
      </c>
      <c r="W37" s="1" t="s">
        <v>33</v>
      </c>
      <c r="X37" s="1" t="s">
        <v>28</v>
      </c>
      <c r="Y37" s="1" t="s">
        <v>28</v>
      </c>
      <c r="Z37" s="1" t="s">
        <v>28</v>
      </c>
      <c r="AA37" s="1" t="s">
        <v>28</v>
      </c>
    </row>
    <row r="38" spans="1:27" x14ac:dyDescent="0.35">
      <c r="A38" t="s">
        <v>166</v>
      </c>
      <c r="B38">
        <v>439097</v>
      </c>
      <c r="C38" s="1" t="s">
        <v>28</v>
      </c>
      <c r="D38" s="11">
        <v>511302.17</v>
      </c>
      <c r="E38" s="1" t="s">
        <v>35</v>
      </c>
      <c r="F38">
        <v>40132</v>
      </c>
      <c r="G38" s="2">
        <v>45991</v>
      </c>
      <c r="H38" s="1" t="s">
        <v>28</v>
      </c>
      <c r="I38" s="1" t="s">
        <v>28</v>
      </c>
      <c r="J38">
        <v>5</v>
      </c>
      <c r="K38" s="1" t="s">
        <v>36</v>
      </c>
      <c r="L38" s="1" t="s">
        <v>28</v>
      </c>
      <c r="O38" s="1" t="s">
        <v>28</v>
      </c>
      <c r="P38" s="1" t="s">
        <v>44</v>
      </c>
      <c r="Q38" s="1" t="s">
        <v>31</v>
      </c>
      <c r="R38" s="1" t="s">
        <v>38</v>
      </c>
      <c r="S38" s="1" t="s">
        <v>45</v>
      </c>
      <c r="T38" s="1" t="s">
        <v>40</v>
      </c>
      <c r="U38" s="1" t="s">
        <v>32</v>
      </c>
      <c r="V38">
        <v>1944733</v>
      </c>
      <c r="W38" s="1" t="s">
        <v>33</v>
      </c>
      <c r="X38" s="1" t="s">
        <v>28</v>
      </c>
      <c r="Y38" s="1" t="s">
        <v>28</v>
      </c>
      <c r="Z38" s="1" t="s">
        <v>28</v>
      </c>
      <c r="AA38" s="1" t="s">
        <v>28</v>
      </c>
    </row>
    <row r="39" spans="1:27" x14ac:dyDescent="0.35">
      <c r="A39" t="s">
        <v>167</v>
      </c>
      <c r="B39">
        <v>438068</v>
      </c>
      <c r="C39" s="1" t="s">
        <v>28</v>
      </c>
      <c r="D39" s="11">
        <v>319701.62</v>
      </c>
      <c r="E39" s="1" t="s">
        <v>35</v>
      </c>
      <c r="F39">
        <v>40132</v>
      </c>
      <c r="G39" s="2">
        <v>45991</v>
      </c>
      <c r="H39" s="1" t="s">
        <v>28</v>
      </c>
      <c r="I39" s="1" t="s">
        <v>28</v>
      </c>
      <c r="J39">
        <v>6</v>
      </c>
      <c r="K39" s="1" t="s">
        <v>36</v>
      </c>
      <c r="L39" s="1" t="s">
        <v>28</v>
      </c>
      <c r="O39" s="1" t="s">
        <v>28</v>
      </c>
      <c r="P39" s="1" t="s">
        <v>46</v>
      </c>
      <c r="Q39" s="1" t="s">
        <v>31</v>
      </c>
      <c r="R39" s="1" t="s">
        <v>38</v>
      </c>
      <c r="S39" s="1" t="s">
        <v>45</v>
      </c>
      <c r="T39" s="1" t="s">
        <v>40</v>
      </c>
      <c r="U39" s="1" t="s">
        <v>32</v>
      </c>
      <c r="V39">
        <v>1944733</v>
      </c>
      <c r="W39" s="1" t="s">
        <v>33</v>
      </c>
      <c r="X39" s="1" t="s">
        <v>28</v>
      </c>
      <c r="Y39" s="1" t="s">
        <v>28</v>
      </c>
      <c r="Z39" s="1" t="s">
        <v>28</v>
      </c>
      <c r="AA39" s="1" t="s">
        <v>28</v>
      </c>
    </row>
    <row r="40" spans="1:27" x14ac:dyDescent="0.35">
      <c r="A40" t="s">
        <v>166</v>
      </c>
      <c r="B40">
        <v>327543</v>
      </c>
      <c r="C40" s="1" t="s">
        <v>28</v>
      </c>
      <c r="D40" s="11">
        <v>3192111.34</v>
      </c>
      <c r="E40" s="1" t="s">
        <v>35</v>
      </c>
      <c r="F40">
        <v>40132</v>
      </c>
      <c r="G40" s="2">
        <v>45991</v>
      </c>
      <c r="H40" s="1" t="s">
        <v>28</v>
      </c>
      <c r="I40" s="1" t="s">
        <v>28</v>
      </c>
      <c r="J40">
        <v>7</v>
      </c>
      <c r="K40" s="1" t="s">
        <v>36</v>
      </c>
      <c r="L40" s="1" t="s">
        <v>28</v>
      </c>
      <c r="O40" s="1" t="s">
        <v>28</v>
      </c>
      <c r="P40" s="1" t="s">
        <v>37</v>
      </c>
      <c r="Q40" s="1" t="s">
        <v>31</v>
      </c>
      <c r="R40" s="1" t="s">
        <v>38</v>
      </c>
      <c r="S40" s="1" t="s">
        <v>45</v>
      </c>
      <c r="T40" s="1" t="s">
        <v>40</v>
      </c>
      <c r="U40" s="1" t="s">
        <v>32</v>
      </c>
      <c r="V40">
        <v>1944733</v>
      </c>
      <c r="W40" s="1" t="s">
        <v>33</v>
      </c>
      <c r="X40" s="1" t="s">
        <v>28</v>
      </c>
      <c r="Y40" s="1" t="s">
        <v>28</v>
      </c>
      <c r="Z40" s="1" t="s">
        <v>28</v>
      </c>
      <c r="AA40" s="1" t="s">
        <v>28</v>
      </c>
    </row>
    <row r="41" spans="1:27" x14ac:dyDescent="0.35">
      <c r="A41" t="s">
        <v>166</v>
      </c>
      <c r="B41">
        <v>439096</v>
      </c>
      <c r="C41" s="1" t="s">
        <v>28</v>
      </c>
      <c r="D41" s="11">
        <v>98689.77</v>
      </c>
      <c r="E41" s="1" t="s">
        <v>35</v>
      </c>
      <c r="F41">
        <v>40132</v>
      </c>
      <c r="G41" s="2">
        <v>45991</v>
      </c>
      <c r="H41" s="1" t="s">
        <v>28</v>
      </c>
      <c r="I41" s="1" t="s">
        <v>28</v>
      </c>
      <c r="J41">
        <v>8</v>
      </c>
      <c r="K41" s="1" t="s">
        <v>36</v>
      </c>
      <c r="L41" s="1" t="s">
        <v>28</v>
      </c>
      <c r="O41" s="1" t="s">
        <v>28</v>
      </c>
      <c r="P41" s="1" t="s">
        <v>47</v>
      </c>
      <c r="Q41" s="1" t="s">
        <v>31</v>
      </c>
      <c r="R41" s="1" t="s">
        <v>38</v>
      </c>
      <c r="S41" s="1" t="s">
        <v>45</v>
      </c>
      <c r="T41" s="1" t="s">
        <v>40</v>
      </c>
      <c r="U41" s="1" t="s">
        <v>32</v>
      </c>
      <c r="V41">
        <v>1944733</v>
      </c>
      <c r="W41" s="1" t="s">
        <v>33</v>
      </c>
      <c r="X41" s="1" t="s">
        <v>28</v>
      </c>
      <c r="Y41" s="1" t="s">
        <v>28</v>
      </c>
      <c r="Z41" s="1" t="s">
        <v>28</v>
      </c>
      <c r="AA41" s="1" t="s">
        <v>28</v>
      </c>
    </row>
    <row r="42" spans="1:27" x14ac:dyDescent="0.35">
      <c r="A42" t="s">
        <v>166</v>
      </c>
      <c r="B42">
        <v>439097</v>
      </c>
      <c r="C42" s="1" t="s">
        <v>28</v>
      </c>
      <c r="D42" s="11">
        <v>520671.04</v>
      </c>
      <c r="E42" s="1" t="s">
        <v>35</v>
      </c>
      <c r="F42">
        <v>40133</v>
      </c>
      <c r="G42" s="2">
        <v>45991</v>
      </c>
      <c r="H42" s="1" t="s">
        <v>28</v>
      </c>
      <c r="I42" s="1" t="s">
        <v>28</v>
      </c>
      <c r="J42">
        <v>5</v>
      </c>
      <c r="K42" s="1" t="s">
        <v>36</v>
      </c>
      <c r="L42" s="1" t="s">
        <v>28</v>
      </c>
      <c r="O42" s="1" t="s">
        <v>28</v>
      </c>
      <c r="P42" s="1" t="s">
        <v>44</v>
      </c>
      <c r="Q42" s="1" t="s">
        <v>31</v>
      </c>
      <c r="R42" s="1" t="s">
        <v>38</v>
      </c>
      <c r="S42" s="1" t="s">
        <v>45</v>
      </c>
      <c r="T42" s="1" t="s">
        <v>40</v>
      </c>
      <c r="U42" s="1" t="s">
        <v>32</v>
      </c>
      <c r="V42">
        <v>1944733</v>
      </c>
      <c r="W42" s="1" t="s">
        <v>33</v>
      </c>
      <c r="X42" s="1" t="s">
        <v>28</v>
      </c>
      <c r="Y42" s="1" t="s">
        <v>28</v>
      </c>
      <c r="Z42" s="1" t="s">
        <v>28</v>
      </c>
      <c r="AA42" s="1" t="s">
        <v>28</v>
      </c>
    </row>
    <row r="43" spans="1:27" x14ac:dyDescent="0.35">
      <c r="A43" t="s">
        <v>167</v>
      </c>
      <c r="B43">
        <v>438068</v>
      </c>
      <c r="C43" s="1" t="s">
        <v>28</v>
      </c>
      <c r="D43" s="11">
        <v>325559.69</v>
      </c>
      <c r="E43" s="1" t="s">
        <v>35</v>
      </c>
      <c r="F43">
        <v>40133</v>
      </c>
      <c r="G43" s="2">
        <v>45991</v>
      </c>
      <c r="H43" s="1" t="s">
        <v>28</v>
      </c>
      <c r="I43" s="1" t="s">
        <v>28</v>
      </c>
      <c r="J43">
        <v>6</v>
      </c>
      <c r="K43" s="1" t="s">
        <v>36</v>
      </c>
      <c r="L43" s="1" t="s">
        <v>28</v>
      </c>
      <c r="O43" s="1" t="s">
        <v>28</v>
      </c>
      <c r="P43" s="1" t="s">
        <v>46</v>
      </c>
      <c r="Q43" s="1" t="s">
        <v>31</v>
      </c>
      <c r="R43" s="1" t="s">
        <v>38</v>
      </c>
      <c r="S43" s="1" t="s">
        <v>45</v>
      </c>
      <c r="T43" s="1" t="s">
        <v>40</v>
      </c>
      <c r="U43" s="1" t="s">
        <v>32</v>
      </c>
      <c r="V43">
        <v>1944733</v>
      </c>
      <c r="W43" s="1" t="s">
        <v>33</v>
      </c>
      <c r="X43" s="1" t="s">
        <v>28</v>
      </c>
      <c r="Y43" s="1" t="s">
        <v>28</v>
      </c>
      <c r="Z43" s="1" t="s">
        <v>28</v>
      </c>
      <c r="AA43" s="1" t="s">
        <v>28</v>
      </c>
    </row>
    <row r="44" spans="1:27" x14ac:dyDescent="0.35">
      <c r="A44" t="s">
        <v>166</v>
      </c>
      <c r="B44">
        <v>327543</v>
      </c>
      <c r="C44" s="1" t="s">
        <v>28</v>
      </c>
      <c r="D44" s="11">
        <v>3261083.46</v>
      </c>
      <c r="E44" s="1" t="s">
        <v>35</v>
      </c>
      <c r="F44">
        <v>40133</v>
      </c>
      <c r="G44" s="2">
        <v>45991</v>
      </c>
      <c r="H44" s="1" t="s">
        <v>28</v>
      </c>
      <c r="I44" s="1" t="s">
        <v>28</v>
      </c>
      <c r="J44">
        <v>7</v>
      </c>
      <c r="K44" s="1" t="s">
        <v>36</v>
      </c>
      <c r="L44" s="1" t="s">
        <v>28</v>
      </c>
      <c r="O44" s="1" t="s">
        <v>28</v>
      </c>
      <c r="P44" s="1" t="s">
        <v>37</v>
      </c>
      <c r="Q44" s="1" t="s">
        <v>31</v>
      </c>
      <c r="R44" s="1" t="s">
        <v>38</v>
      </c>
      <c r="S44" s="1" t="s">
        <v>45</v>
      </c>
      <c r="T44" s="1" t="s">
        <v>40</v>
      </c>
      <c r="U44" s="1" t="s">
        <v>32</v>
      </c>
      <c r="V44">
        <v>1944733</v>
      </c>
      <c r="W44" s="1" t="s">
        <v>33</v>
      </c>
      <c r="X44" s="1" t="s">
        <v>28</v>
      </c>
      <c r="Y44" s="1" t="s">
        <v>28</v>
      </c>
      <c r="Z44" s="1" t="s">
        <v>28</v>
      </c>
      <c r="AA44" s="1" t="s">
        <v>28</v>
      </c>
    </row>
    <row r="45" spans="1:27" x14ac:dyDescent="0.35">
      <c r="A45" t="s">
        <v>166</v>
      </c>
      <c r="B45">
        <v>439096</v>
      </c>
      <c r="C45" s="1" t="s">
        <v>28</v>
      </c>
      <c r="D45" s="11">
        <v>100498.12</v>
      </c>
      <c r="E45" s="1" t="s">
        <v>35</v>
      </c>
      <c r="F45">
        <v>40133</v>
      </c>
      <c r="G45" s="2">
        <v>45991</v>
      </c>
      <c r="H45" s="1" t="s">
        <v>28</v>
      </c>
      <c r="I45" s="1" t="s">
        <v>28</v>
      </c>
      <c r="J45">
        <v>8</v>
      </c>
      <c r="K45" s="1" t="s">
        <v>36</v>
      </c>
      <c r="L45" s="1" t="s">
        <v>28</v>
      </c>
      <c r="O45" s="1" t="s">
        <v>28</v>
      </c>
      <c r="P45" s="1" t="s">
        <v>47</v>
      </c>
      <c r="Q45" s="1" t="s">
        <v>31</v>
      </c>
      <c r="R45" s="1" t="s">
        <v>38</v>
      </c>
      <c r="S45" s="1" t="s">
        <v>45</v>
      </c>
      <c r="T45" s="1" t="s">
        <v>40</v>
      </c>
      <c r="U45" s="1" t="s">
        <v>32</v>
      </c>
      <c r="V45">
        <v>1944733</v>
      </c>
      <c r="W45" s="1" t="s">
        <v>33</v>
      </c>
      <c r="X45" s="1" t="s">
        <v>28</v>
      </c>
      <c r="Y45" s="1" t="s">
        <v>28</v>
      </c>
      <c r="Z45" s="1" t="s">
        <v>28</v>
      </c>
      <c r="AA45" s="1" t="s">
        <v>28</v>
      </c>
    </row>
    <row r="46" spans="1:27" x14ac:dyDescent="0.35">
      <c r="A46" t="s">
        <v>166</v>
      </c>
      <c r="B46">
        <v>439097</v>
      </c>
      <c r="C46" s="1" t="s">
        <v>28</v>
      </c>
      <c r="D46" s="11">
        <v>104566.79</v>
      </c>
      <c r="E46" s="1" t="s">
        <v>35</v>
      </c>
      <c r="F46">
        <v>40134</v>
      </c>
      <c r="G46" s="2">
        <v>45991</v>
      </c>
      <c r="H46" s="1" t="s">
        <v>28</v>
      </c>
      <c r="I46" s="1" t="s">
        <v>28</v>
      </c>
      <c r="J46">
        <v>5</v>
      </c>
      <c r="K46" s="1" t="s">
        <v>36</v>
      </c>
      <c r="L46" s="1" t="s">
        <v>28</v>
      </c>
      <c r="O46" s="1" t="s">
        <v>28</v>
      </c>
      <c r="P46" s="1" t="s">
        <v>44</v>
      </c>
      <c r="Q46" s="1" t="s">
        <v>31</v>
      </c>
      <c r="R46" s="1" t="s">
        <v>38</v>
      </c>
      <c r="S46" s="1" t="s">
        <v>43</v>
      </c>
      <c r="T46" s="1" t="s">
        <v>40</v>
      </c>
      <c r="U46" s="1" t="s">
        <v>32</v>
      </c>
      <c r="V46">
        <v>1944733</v>
      </c>
      <c r="W46" s="1" t="s">
        <v>33</v>
      </c>
      <c r="X46" s="1" t="s">
        <v>28</v>
      </c>
      <c r="Y46" s="1" t="s">
        <v>28</v>
      </c>
      <c r="Z46" s="1" t="s">
        <v>28</v>
      </c>
      <c r="AA46" s="1" t="s">
        <v>28</v>
      </c>
    </row>
    <row r="47" spans="1:27" x14ac:dyDescent="0.35">
      <c r="A47" t="s">
        <v>167</v>
      </c>
      <c r="B47">
        <v>438068</v>
      </c>
      <c r="C47" s="1" t="s">
        <v>28</v>
      </c>
      <c r="D47" s="11">
        <v>65382.42</v>
      </c>
      <c r="E47" s="1" t="s">
        <v>35</v>
      </c>
      <c r="F47">
        <v>40134</v>
      </c>
      <c r="G47" s="2">
        <v>45991</v>
      </c>
      <c r="H47" s="1" t="s">
        <v>28</v>
      </c>
      <c r="I47" s="1" t="s">
        <v>28</v>
      </c>
      <c r="J47">
        <v>6</v>
      </c>
      <c r="K47" s="1" t="s">
        <v>36</v>
      </c>
      <c r="L47" s="1" t="s">
        <v>28</v>
      </c>
      <c r="O47" s="1" t="s">
        <v>28</v>
      </c>
      <c r="P47" s="1" t="s">
        <v>46</v>
      </c>
      <c r="Q47" s="1" t="s">
        <v>31</v>
      </c>
      <c r="R47" s="1" t="s">
        <v>38</v>
      </c>
      <c r="S47" s="1" t="s">
        <v>43</v>
      </c>
      <c r="T47" s="1" t="s">
        <v>40</v>
      </c>
      <c r="U47" s="1" t="s">
        <v>32</v>
      </c>
      <c r="V47">
        <v>1944733</v>
      </c>
      <c r="W47" s="1" t="s">
        <v>33</v>
      </c>
      <c r="X47" s="1" t="s">
        <v>28</v>
      </c>
      <c r="Y47" s="1" t="s">
        <v>28</v>
      </c>
      <c r="Z47" s="1" t="s">
        <v>28</v>
      </c>
      <c r="AA47" s="1" t="s">
        <v>28</v>
      </c>
    </row>
    <row r="48" spans="1:27" x14ac:dyDescent="0.35">
      <c r="A48" t="s">
        <v>166</v>
      </c>
      <c r="B48">
        <v>327543</v>
      </c>
      <c r="C48" s="1" t="s">
        <v>28</v>
      </c>
      <c r="D48" s="11">
        <v>680906.32</v>
      </c>
      <c r="E48" s="1" t="s">
        <v>35</v>
      </c>
      <c r="F48">
        <v>40134</v>
      </c>
      <c r="G48" s="2">
        <v>45991</v>
      </c>
      <c r="H48" s="1" t="s">
        <v>28</v>
      </c>
      <c r="I48" s="1" t="s">
        <v>28</v>
      </c>
      <c r="J48">
        <v>7</v>
      </c>
      <c r="K48" s="1" t="s">
        <v>36</v>
      </c>
      <c r="L48" s="1" t="s">
        <v>28</v>
      </c>
      <c r="O48" s="1" t="s">
        <v>28</v>
      </c>
      <c r="P48" s="1" t="s">
        <v>37</v>
      </c>
      <c r="Q48" s="1" t="s">
        <v>31</v>
      </c>
      <c r="R48" s="1" t="s">
        <v>38</v>
      </c>
      <c r="S48" s="1" t="s">
        <v>43</v>
      </c>
      <c r="T48" s="1" t="s">
        <v>40</v>
      </c>
      <c r="U48" s="1" t="s">
        <v>32</v>
      </c>
      <c r="V48">
        <v>1944733</v>
      </c>
      <c r="W48" s="1" t="s">
        <v>33</v>
      </c>
      <c r="X48" s="1" t="s">
        <v>28</v>
      </c>
      <c r="Y48" s="1" t="s">
        <v>28</v>
      </c>
      <c r="Z48" s="1" t="s">
        <v>28</v>
      </c>
      <c r="AA48" s="1" t="s">
        <v>28</v>
      </c>
    </row>
    <row r="49" spans="1:27" x14ac:dyDescent="0.35">
      <c r="A49" t="s">
        <v>166</v>
      </c>
      <c r="B49">
        <v>439096</v>
      </c>
      <c r="C49" s="1" t="s">
        <v>28</v>
      </c>
      <c r="D49" s="11">
        <v>20183.12</v>
      </c>
      <c r="E49" s="1" t="s">
        <v>35</v>
      </c>
      <c r="F49">
        <v>40134</v>
      </c>
      <c r="G49" s="2">
        <v>45991</v>
      </c>
      <c r="H49" s="1" t="s">
        <v>28</v>
      </c>
      <c r="I49" s="1" t="s">
        <v>28</v>
      </c>
      <c r="J49">
        <v>8</v>
      </c>
      <c r="K49" s="1" t="s">
        <v>36</v>
      </c>
      <c r="L49" s="1" t="s">
        <v>28</v>
      </c>
      <c r="O49" s="1" t="s">
        <v>28</v>
      </c>
      <c r="P49" s="1" t="s">
        <v>47</v>
      </c>
      <c r="Q49" s="1" t="s">
        <v>31</v>
      </c>
      <c r="R49" s="1" t="s">
        <v>38</v>
      </c>
      <c r="S49" s="1" t="s">
        <v>43</v>
      </c>
      <c r="T49" s="1" t="s">
        <v>40</v>
      </c>
      <c r="U49" s="1" t="s">
        <v>32</v>
      </c>
      <c r="V49">
        <v>1944733</v>
      </c>
      <c r="W49" s="1" t="s">
        <v>33</v>
      </c>
      <c r="X49" s="1" t="s">
        <v>28</v>
      </c>
      <c r="Y49" s="1" t="s">
        <v>28</v>
      </c>
      <c r="Z49" s="1" t="s">
        <v>28</v>
      </c>
      <c r="AA49" s="1" t="s">
        <v>28</v>
      </c>
    </row>
    <row r="50" spans="1:27" x14ac:dyDescent="0.35">
      <c r="A50" t="s">
        <v>166</v>
      </c>
      <c r="B50">
        <v>439097</v>
      </c>
      <c r="C50" s="1" t="s">
        <v>28</v>
      </c>
      <c r="D50" s="11">
        <v>95220.96</v>
      </c>
      <c r="E50" s="1" t="s">
        <v>35</v>
      </c>
      <c r="F50">
        <v>40135</v>
      </c>
      <c r="G50" s="2">
        <v>45991</v>
      </c>
      <c r="H50" s="1" t="s">
        <v>28</v>
      </c>
      <c r="I50" s="1" t="s">
        <v>28</v>
      </c>
      <c r="J50">
        <v>5</v>
      </c>
      <c r="K50" s="1" t="s">
        <v>36</v>
      </c>
      <c r="L50" s="1" t="s">
        <v>28</v>
      </c>
      <c r="O50" s="1" t="s">
        <v>28</v>
      </c>
      <c r="P50" s="1" t="s">
        <v>44</v>
      </c>
      <c r="Q50" s="1" t="s">
        <v>31</v>
      </c>
      <c r="R50" s="1" t="s">
        <v>38</v>
      </c>
      <c r="S50" s="1" t="s">
        <v>43</v>
      </c>
      <c r="T50" s="1" t="s">
        <v>40</v>
      </c>
      <c r="U50" s="1" t="s">
        <v>32</v>
      </c>
      <c r="V50">
        <v>1944733</v>
      </c>
      <c r="W50" s="1" t="s">
        <v>33</v>
      </c>
      <c r="X50" s="1" t="s">
        <v>28</v>
      </c>
      <c r="Y50" s="1" t="s">
        <v>28</v>
      </c>
      <c r="Z50" s="1" t="s">
        <v>28</v>
      </c>
      <c r="AA50" s="1" t="s">
        <v>28</v>
      </c>
    </row>
    <row r="51" spans="1:27" x14ac:dyDescent="0.35">
      <c r="A51" t="s">
        <v>167</v>
      </c>
      <c r="B51">
        <v>438068</v>
      </c>
      <c r="C51" s="1" t="s">
        <v>28</v>
      </c>
      <c r="D51" s="11">
        <v>59538.76</v>
      </c>
      <c r="E51" s="1" t="s">
        <v>35</v>
      </c>
      <c r="F51">
        <v>40135</v>
      </c>
      <c r="G51" s="2">
        <v>45991</v>
      </c>
      <c r="H51" s="1" t="s">
        <v>28</v>
      </c>
      <c r="I51" s="1" t="s">
        <v>28</v>
      </c>
      <c r="J51">
        <v>6</v>
      </c>
      <c r="K51" s="1" t="s">
        <v>36</v>
      </c>
      <c r="L51" s="1" t="s">
        <v>28</v>
      </c>
      <c r="O51" s="1" t="s">
        <v>28</v>
      </c>
      <c r="P51" s="1" t="s">
        <v>46</v>
      </c>
      <c r="Q51" s="1" t="s">
        <v>31</v>
      </c>
      <c r="R51" s="1" t="s">
        <v>38</v>
      </c>
      <c r="S51" s="1" t="s">
        <v>43</v>
      </c>
      <c r="T51" s="1" t="s">
        <v>40</v>
      </c>
      <c r="U51" s="1" t="s">
        <v>32</v>
      </c>
      <c r="V51">
        <v>1944733</v>
      </c>
      <c r="W51" s="1" t="s">
        <v>33</v>
      </c>
      <c r="X51" s="1" t="s">
        <v>28</v>
      </c>
      <c r="Y51" s="1" t="s">
        <v>28</v>
      </c>
      <c r="Z51" s="1" t="s">
        <v>28</v>
      </c>
      <c r="AA51" s="1" t="s">
        <v>28</v>
      </c>
    </row>
    <row r="52" spans="1:27" x14ac:dyDescent="0.35">
      <c r="A52" t="s">
        <v>166</v>
      </c>
      <c r="B52">
        <v>327543</v>
      </c>
      <c r="C52" s="1" t="s">
        <v>28</v>
      </c>
      <c r="D52" s="11">
        <v>621016.19999999995</v>
      </c>
      <c r="E52" s="1" t="s">
        <v>35</v>
      </c>
      <c r="F52">
        <v>40135</v>
      </c>
      <c r="G52" s="2">
        <v>45991</v>
      </c>
      <c r="H52" s="1" t="s">
        <v>28</v>
      </c>
      <c r="I52" s="1" t="s">
        <v>28</v>
      </c>
      <c r="J52">
        <v>7</v>
      </c>
      <c r="K52" s="1" t="s">
        <v>36</v>
      </c>
      <c r="L52" s="1" t="s">
        <v>28</v>
      </c>
      <c r="O52" s="1" t="s">
        <v>28</v>
      </c>
      <c r="P52" s="1" t="s">
        <v>37</v>
      </c>
      <c r="Q52" s="1" t="s">
        <v>31</v>
      </c>
      <c r="R52" s="1" t="s">
        <v>38</v>
      </c>
      <c r="S52" s="1" t="s">
        <v>43</v>
      </c>
      <c r="T52" s="1" t="s">
        <v>40</v>
      </c>
      <c r="U52" s="1" t="s">
        <v>32</v>
      </c>
      <c r="V52">
        <v>1944733</v>
      </c>
      <c r="W52" s="1" t="s">
        <v>33</v>
      </c>
      <c r="X52" s="1" t="s">
        <v>28</v>
      </c>
      <c r="Y52" s="1" t="s">
        <v>28</v>
      </c>
      <c r="Z52" s="1" t="s">
        <v>28</v>
      </c>
      <c r="AA52" s="1" t="s">
        <v>28</v>
      </c>
    </row>
    <row r="53" spans="1:27" x14ac:dyDescent="0.35">
      <c r="A53" t="s">
        <v>166</v>
      </c>
      <c r="B53">
        <v>439096</v>
      </c>
      <c r="C53" s="1" t="s">
        <v>28</v>
      </c>
      <c r="D53" s="11">
        <v>18379.22</v>
      </c>
      <c r="E53" s="1" t="s">
        <v>35</v>
      </c>
      <c r="F53">
        <v>40135</v>
      </c>
      <c r="G53" s="2">
        <v>45991</v>
      </c>
      <c r="H53" s="1" t="s">
        <v>28</v>
      </c>
      <c r="I53" s="1" t="s">
        <v>28</v>
      </c>
      <c r="J53">
        <v>8</v>
      </c>
      <c r="K53" s="1" t="s">
        <v>36</v>
      </c>
      <c r="L53" s="1" t="s">
        <v>28</v>
      </c>
      <c r="O53" s="1" t="s">
        <v>28</v>
      </c>
      <c r="P53" s="1" t="s">
        <v>47</v>
      </c>
      <c r="Q53" s="1" t="s">
        <v>31</v>
      </c>
      <c r="R53" s="1" t="s">
        <v>38</v>
      </c>
      <c r="S53" s="1" t="s">
        <v>43</v>
      </c>
      <c r="T53" s="1" t="s">
        <v>40</v>
      </c>
      <c r="U53" s="1" t="s">
        <v>32</v>
      </c>
      <c r="V53">
        <v>1944733</v>
      </c>
      <c r="W53" s="1" t="s">
        <v>33</v>
      </c>
      <c r="X53" s="1" t="s">
        <v>28</v>
      </c>
      <c r="Y53" s="1" t="s">
        <v>28</v>
      </c>
      <c r="Z53" s="1" t="s">
        <v>28</v>
      </c>
      <c r="AA53" s="1" t="s">
        <v>28</v>
      </c>
    </row>
    <row r="54" spans="1:27" x14ac:dyDescent="0.35">
      <c r="A54" t="s">
        <v>166</v>
      </c>
      <c r="B54">
        <v>439097</v>
      </c>
      <c r="C54" s="1" t="s">
        <v>28</v>
      </c>
      <c r="D54" s="11">
        <v>116116.65</v>
      </c>
      <c r="E54" s="1" t="s">
        <v>35</v>
      </c>
      <c r="F54">
        <v>40136</v>
      </c>
      <c r="G54" s="2">
        <v>45991</v>
      </c>
      <c r="H54" s="1" t="s">
        <v>28</v>
      </c>
      <c r="I54" s="1" t="s">
        <v>28</v>
      </c>
      <c r="J54">
        <v>5</v>
      </c>
      <c r="K54" s="1" t="s">
        <v>36</v>
      </c>
      <c r="L54" s="1" t="s">
        <v>28</v>
      </c>
      <c r="O54" s="1" t="s">
        <v>28</v>
      </c>
      <c r="P54" s="1" t="s">
        <v>44</v>
      </c>
      <c r="Q54" s="1" t="s">
        <v>31</v>
      </c>
      <c r="R54" s="1" t="s">
        <v>38</v>
      </c>
      <c r="S54" s="1" t="s">
        <v>42</v>
      </c>
      <c r="T54" s="1" t="s">
        <v>40</v>
      </c>
      <c r="U54" s="1" t="s">
        <v>32</v>
      </c>
      <c r="V54">
        <v>1944733</v>
      </c>
      <c r="W54" s="1" t="s">
        <v>33</v>
      </c>
      <c r="X54" s="1" t="s">
        <v>28</v>
      </c>
      <c r="Y54" s="1" t="s">
        <v>28</v>
      </c>
      <c r="Z54" s="1" t="s">
        <v>28</v>
      </c>
      <c r="AA54" s="1" t="s">
        <v>28</v>
      </c>
    </row>
    <row r="55" spans="1:27" x14ac:dyDescent="0.35">
      <c r="A55" t="s">
        <v>167</v>
      </c>
      <c r="B55">
        <v>438068</v>
      </c>
      <c r="C55" s="1" t="s">
        <v>28</v>
      </c>
      <c r="D55" s="11">
        <v>72604.19</v>
      </c>
      <c r="E55" s="1" t="s">
        <v>35</v>
      </c>
      <c r="F55">
        <v>40136</v>
      </c>
      <c r="G55" s="2">
        <v>45991</v>
      </c>
      <c r="H55" s="1" t="s">
        <v>28</v>
      </c>
      <c r="I55" s="1" t="s">
        <v>28</v>
      </c>
      <c r="J55">
        <v>6</v>
      </c>
      <c r="K55" s="1" t="s">
        <v>36</v>
      </c>
      <c r="L55" s="1" t="s">
        <v>28</v>
      </c>
      <c r="O55" s="1" t="s">
        <v>28</v>
      </c>
      <c r="P55" s="1" t="s">
        <v>46</v>
      </c>
      <c r="Q55" s="1" t="s">
        <v>31</v>
      </c>
      <c r="R55" s="1" t="s">
        <v>38</v>
      </c>
      <c r="S55" s="1" t="s">
        <v>42</v>
      </c>
      <c r="T55" s="1" t="s">
        <v>40</v>
      </c>
      <c r="U55" s="1" t="s">
        <v>32</v>
      </c>
      <c r="V55">
        <v>1944733</v>
      </c>
      <c r="W55" s="1" t="s">
        <v>33</v>
      </c>
      <c r="X55" s="1" t="s">
        <v>28</v>
      </c>
      <c r="Y55" s="1" t="s">
        <v>28</v>
      </c>
      <c r="Z55" s="1" t="s">
        <v>28</v>
      </c>
      <c r="AA55" s="1" t="s">
        <v>28</v>
      </c>
    </row>
    <row r="56" spans="1:27" x14ac:dyDescent="0.35">
      <c r="A56" t="s">
        <v>166</v>
      </c>
      <c r="B56">
        <v>327543</v>
      </c>
      <c r="C56" s="1" t="s">
        <v>28</v>
      </c>
      <c r="D56" s="11">
        <v>754841.73</v>
      </c>
      <c r="E56" s="1" t="s">
        <v>35</v>
      </c>
      <c r="F56">
        <v>40136</v>
      </c>
      <c r="G56" s="2">
        <v>45991</v>
      </c>
      <c r="H56" s="1" t="s">
        <v>28</v>
      </c>
      <c r="I56" s="1" t="s">
        <v>28</v>
      </c>
      <c r="J56">
        <v>7</v>
      </c>
      <c r="K56" s="1" t="s">
        <v>36</v>
      </c>
      <c r="L56" s="1" t="s">
        <v>28</v>
      </c>
      <c r="O56" s="1" t="s">
        <v>28</v>
      </c>
      <c r="P56" s="1" t="s">
        <v>37</v>
      </c>
      <c r="Q56" s="1" t="s">
        <v>31</v>
      </c>
      <c r="R56" s="1" t="s">
        <v>38</v>
      </c>
      <c r="S56" s="1" t="s">
        <v>42</v>
      </c>
      <c r="T56" s="1" t="s">
        <v>40</v>
      </c>
      <c r="U56" s="1" t="s">
        <v>32</v>
      </c>
      <c r="V56">
        <v>1944733</v>
      </c>
      <c r="W56" s="1" t="s">
        <v>33</v>
      </c>
      <c r="X56" s="1" t="s">
        <v>28</v>
      </c>
      <c r="Y56" s="1" t="s">
        <v>28</v>
      </c>
      <c r="Z56" s="1" t="s">
        <v>28</v>
      </c>
      <c r="AA56" s="1" t="s">
        <v>28</v>
      </c>
    </row>
    <row r="57" spans="1:27" x14ac:dyDescent="0.35">
      <c r="A57" t="s">
        <v>166</v>
      </c>
      <c r="B57">
        <v>439096</v>
      </c>
      <c r="C57" s="1" t="s">
        <v>28</v>
      </c>
      <c r="D57" s="11">
        <v>22412.43</v>
      </c>
      <c r="E57" s="1" t="s">
        <v>35</v>
      </c>
      <c r="F57">
        <v>40136</v>
      </c>
      <c r="G57" s="2">
        <v>45991</v>
      </c>
      <c r="H57" s="1" t="s">
        <v>28</v>
      </c>
      <c r="I57" s="1" t="s">
        <v>28</v>
      </c>
      <c r="J57">
        <v>8</v>
      </c>
      <c r="K57" s="1" t="s">
        <v>36</v>
      </c>
      <c r="L57" s="1" t="s">
        <v>28</v>
      </c>
      <c r="O57" s="1" t="s">
        <v>28</v>
      </c>
      <c r="P57" s="1" t="s">
        <v>47</v>
      </c>
      <c r="Q57" s="1" t="s">
        <v>31</v>
      </c>
      <c r="R57" s="1" t="s">
        <v>38</v>
      </c>
      <c r="S57" s="1" t="s">
        <v>42</v>
      </c>
      <c r="T57" s="1" t="s">
        <v>40</v>
      </c>
      <c r="U57" s="1" t="s">
        <v>32</v>
      </c>
      <c r="V57">
        <v>1944733</v>
      </c>
      <c r="W57" s="1" t="s">
        <v>33</v>
      </c>
      <c r="X57" s="1" t="s">
        <v>28</v>
      </c>
      <c r="Y57" s="1" t="s">
        <v>28</v>
      </c>
      <c r="Z57" s="1" t="s">
        <v>28</v>
      </c>
      <c r="AA57" s="1" t="s">
        <v>28</v>
      </c>
    </row>
    <row r="58" spans="1:27" x14ac:dyDescent="0.35">
      <c r="A58" t="s">
        <v>166</v>
      </c>
      <c r="B58">
        <v>327543</v>
      </c>
      <c r="C58" s="1" t="s">
        <v>28</v>
      </c>
      <c r="D58" s="11">
        <v>-251004.39</v>
      </c>
      <c r="E58" s="1" t="s">
        <v>35</v>
      </c>
      <c r="F58">
        <v>40137</v>
      </c>
      <c r="G58" s="2">
        <v>45991</v>
      </c>
      <c r="H58" s="1" t="s">
        <v>28</v>
      </c>
      <c r="I58" s="1" t="s">
        <v>28</v>
      </c>
      <c r="J58">
        <v>2</v>
      </c>
      <c r="K58" s="1" t="s">
        <v>36</v>
      </c>
      <c r="L58" s="1" t="s">
        <v>28</v>
      </c>
      <c r="O58" s="1" t="s">
        <v>28</v>
      </c>
      <c r="P58" s="1" t="s">
        <v>37</v>
      </c>
      <c r="Q58" s="1" t="s">
        <v>31</v>
      </c>
      <c r="R58" s="1" t="s">
        <v>38</v>
      </c>
      <c r="S58" s="1" t="s">
        <v>42</v>
      </c>
      <c r="T58" s="1" t="s">
        <v>40</v>
      </c>
      <c r="U58" s="1" t="s">
        <v>32</v>
      </c>
      <c r="V58">
        <v>1944733</v>
      </c>
      <c r="W58" s="1" t="s">
        <v>33</v>
      </c>
      <c r="X58" s="1" t="s">
        <v>28</v>
      </c>
      <c r="Y58" s="1" t="s">
        <v>28</v>
      </c>
      <c r="Z58" s="1" t="s">
        <v>28</v>
      </c>
      <c r="AA58" s="1" t="s">
        <v>28</v>
      </c>
    </row>
    <row r="59" spans="1:27" x14ac:dyDescent="0.35">
      <c r="A59" t="s">
        <v>166</v>
      </c>
      <c r="B59">
        <v>439097</v>
      </c>
      <c r="C59" s="1" t="s">
        <v>28</v>
      </c>
      <c r="D59" s="11">
        <v>47246.15</v>
      </c>
      <c r="E59" s="1" t="s">
        <v>35</v>
      </c>
      <c r="F59">
        <v>40138</v>
      </c>
      <c r="G59" s="2">
        <v>45991</v>
      </c>
      <c r="H59" s="1" t="s">
        <v>28</v>
      </c>
      <c r="I59" s="1" t="s">
        <v>28</v>
      </c>
      <c r="J59">
        <v>5</v>
      </c>
      <c r="K59" s="1" t="s">
        <v>36</v>
      </c>
      <c r="L59" s="1" t="s">
        <v>28</v>
      </c>
      <c r="O59" s="1" t="s">
        <v>28</v>
      </c>
      <c r="P59" s="1" t="s">
        <v>44</v>
      </c>
      <c r="Q59" s="1" t="s">
        <v>31</v>
      </c>
      <c r="R59" s="1" t="s">
        <v>38</v>
      </c>
      <c r="S59" s="1" t="s">
        <v>42</v>
      </c>
      <c r="T59" s="1" t="s">
        <v>40</v>
      </c>
      <c r="U59" s="1" t="s">
        <v>32</v>
      </c>
      <c r="V59">
        <v>1944733</v>
      </c>
      <c r="W59" s="1" t="s">
        <v>33</v>
      </c>
      <c r="X59" s="1" t="s">
        <v>28</v>
      </c>
      <c r="Y59" s="1" t="s">
        <v>28</v>
      </c>
      <c r="Z59" s="1" t="s">
        <v>28</v>
      </c>
      <c r="AA59" s="1" t="s">
        <v>28</v>
      </c>
    </row>
    <row r="60" spans="1:27" x14ac:dyDescent="0.35">
      <c r="A60" t="s">
        <v>167</v>
      </c>
      <c r="B60">
        <v>438068</v>
      </c>
      <c r="C60" s="1" t="s">
        <v>28</v>
      </c>
      <c r="D60" s="11">
        <v>29541.58</v>
      </c>
      <c r="E60" s="1" t="s">
        <v>35</v>
      </c>
      <c r="F60">
        <v>40138</v>
      </c>
      <c r="G60" s="2">
        <v>45991</v>
      </c>
      <c r="H60" s="1" t="s">
        <v>28</v>
      </c>
      <c r="I60" s="1" t="s">
        <v>28</v>
      </c>
      <c r="J60">
        <v>6</v>
      </c>
      <c r="K60" s="1" t="s">
        <v>36</v>
      </c>
      <c r="L60" s="1" t="s">
        <v>28</v>
      </c>
      <c r="O60" s="1" t="s">
        <v>28</v>
      </c>
      <c r="P60" s="1" t="s">
        <v>46</v>
      </c>
      <c r="Q60" s="1" t="s">
        <v>31</v>
      </c>
      <c r="R60" s="1" t="s">
        <v>38</v>
      </c>
      <c r="S60" s="1" t="s">
        <v>42</v>
      </c>
      <c r="T60" s="1" t="s">
        <v>40</v>
      </c>
      <c r="U60" s="1" t="s">
        <v>32</v>
      </c>
      <c r="V60">
        <v>1944733</v>
      </c>
      <c r="W60" s="1" t="s">
        <v>33</v>
      </c>
      <c r="X60" s="1" t="s">
        <v>28</v>
      </c>
      <c r="Y60" s="1" t="s">
        <v>28</v>
      </c>
      <c r="Z60" s="1" t="s">
        <v>28</v>
      </c>
      <c r="AA60" s="1" t="s">
        <v>28</v>
      </c>
    </row>
    <row r="61" spans="1:27" x14ac:dyDescent="0.35">
      <c r="A61" t="s">
        <v>166</v>
      </c>
      <c r="B61">
        <v>327543</v>
      </c>
      <c r="C61" s="1" t="s">
        <v>28</v>
      </c>
      <c r="D61" s="11">
        <v>307126.34999999998</v>
      </c>
      <c r="E61" s="1" t="s">
        <v>35</v>
      </c>
      <c r="F61">
        <v>40138</v>
      </c>
      <c r="G61" s="2">
        <v>45991</v>
      </c>
      <c r="H61" s="1" t="s">
        <v>28</v>
      </c>
      <c r="I61" s="1" t="s">
        <v>28</v>
      </c>
      <c r="J61">
        <v>7</v>
      </c>
      <c r="K61" s="1" t="s">
        <v>36</v>
      </c>
      <c r="L61" s="1" t="s">
        <v>28</v>
      </c>
      <c r="O61" s="1" t="s">
        <v>28</v>
      </c>
      <c r="P61" s="1" t="s">
        <v>37</v>
      </c>
      <c r="Q61" s="1" t="s">
        <v>31</v>
      </c>
      <c r="R61" s="1" t="s">
        <v>38</v>
      </c>
      <c r="S61" s="1" t="s">
        <v>42</v>
      </c>
      <c r="T61" s="1" t="s">
        <v>40</v>
      </c>
      <c r="U61" s="1" t="s">
        <v>32</v>
      </c>
      <c r="V61">
        <v>1944733</v>
      </c>
      <c r="W61" s="1" t="s">
        <v>33</v>
      </c>
      <c r="X61" s="1" t="s">
        <v>28</v>
      </c>
      <c r="Y61" s="1" t="s">
        <v>28</v>
      </c>
      <c r="Z61" s="1" t="s">
        <v>28</v>
      </c>
      <c r="AA61" s="1" t="s">
        <v>28</v>
      </c>
    </row>
    <row r="62" spans="1:27" x14ac:dyDescent="0.35">
      <c r="A62" t="s">
        <v>166</v>
      </c>
      <c r="B62">
        <v>439096</v>
      </c>
      <c r="C62" s="1" t="s">
        <v>28</v>
      </c>
      <c r="D62" s="11">
        <v>9119.2900000000009</v>
      </c>
      <c r="E62" s="1" t="s">
        <v>35</v>
      </c>
      <c r="F62">
        <v>40138</v>
      </c>
      <c r="G62" s="2">
        <v>45991</v>
      </c>
      <c r="H62" s="1" t="s">
        <v>28</v>
      </c>
      <c r="I62" s="1" t="s">
        <v>28</v>
      </c>
      <c r="J62">
        <v>8</v>
      </c>
      <c r="K62" s="1" t="s">
        <v>36</v>
      </c>
      <c r="L62" s="1" t="s">
        <v>28</v>
      </c>
      <c r="O62" s="1" t="s">
        <v>28</v>
      </c>
      <c r="P62" s="1" t="s">
        <v>47</v>
      </c>
      <c r="Q62" s="1" t="s">
        <v>31</v>
      </c>
      <c r="R62" s="1" t="s">
        <v>38</v>
      </c>
      <c r="S62" s="1" t="s">
        <v>42</v>
      </c>
      <c r="T62" s="1" t="s">
        <v>40</v>
      </c>
      <c r="U62" s="1" t="s">
        <v>32</v>
      </c>
      <c r="V62">
        <v>1944733</v>
      </c>
      <c r="W62" s="1" t="s">
        <v>33</v>
      </c>
      <c r="X62" s="1" t="s">
        <v>28</v>
      </c>
      <c r="Y62" s="1" t="s">
        <v>28</v>
      </c>
      <c r="Z62" s="1" t="s">
        <v>28</v>
      </c>
      <c r="AA62" s="1" t="s">
        <v>28</v>
      </c>
    </row>
    <row r="63" spans="1:27" x14ac:dyDescent="0.35">
      <c r="A63" t="s">
        <v>166</v>
      </c>
      <c r="B63">
        <v>439097</v>
      </c>
      <c r="C63" s="1" t="s">
        <v>28</v>
      </c>
      <c r="D63" s="11">
        <v>185437.21</v>
      </c>
      <c r="E63" s="1" t="s">
        <v>35</v>
      </c>
      <c r="F63">
        <v>40139</v>
      </c>
      <c r="G63" s="2">
        <v>45991</v>
      </c>
      <c r="H63" s="1" t="s">
        <v>28</v>
      </c>
      <c r="I63" s="1" t="s">
        <v>28</v>
      </c>
      <c r="J63">
        <v>5</v>
      </c>
      <c r="K63" s="1" t="s">
        <v>36</v>
      </c>
      <c r="L63" s="1" t="s">
        <v>28</v>
      </c>
      <c r="O63" s="1" t="s">
        <v>28</v>
      </c>
      <c r="P63" s="1" t="s">
        <v>44</v>
      </c>
      <c r="Q63" s="1" t="s">
        <v>31</v>
      </c>
      <c r="R63" s="1" t="s">
        <v>38</v>
      </c>
      <c r="S63" s="1" t="s">
        <v>39</v>
      </c>
      <c r="T63" s="1" t="s">
        <v>40</v>
      </c>
      <c r="U63" s="1" t="s">
        <v>32</v>
      </c>
      <c r="V63">
        <v>1944733</v>
      </c>
      <c r="W63" s="1" t="s">
        <v>33</v>
      </c>
      <c r="X63" s="1" t="s">
        <v>28</v>
      </c>
      <c r="Y63" s="1" t="s">
        <v>28</v>
      </c>
      <c r="Z63" s="1" t="s">
        <v>28</v>
      </c>
      <c r="AA63" s="1" t="s">
        <v>28</v>
      </c>
    </row>
    <row r="64" spans="1:27" x14ac:dyDescent="0.35">
      <c r="A64" t="s">
        <v>167</v>
      </c>
      <c r="B64">
        <v>438068</v>
      </c>
      <c r="C64" s="1" t="s">
        <v>28</v>
      </c>
      <c r="D64" s="11">
        <v>115948.22</v>
      </c>
      <c r="E64" s="1" t="s">
        <v>35</v>
      </c>
      <c r="F64">
        <v>40139</v>
      </c>
      <c r="G64" s="2">
        <v>45991</v>
      </c>
      <c r="H64" s="1" t="s">
        <v>28</v>
      </c>
      <c r="I64" s="1" t="s">
        <v>28</v>
      </c>
      <c r="J64">
        <v>6</v>
      </c>
      <c r="K64" s="1" t="s">
        <v>36</v>
      </c>
      <c r="L64" s="1" t="s">
        <v>28</v>
      </c>
      <c r="O64" s="1" t="s">
        <v>28</v>
      </c>
      <c r="P64" s="1" t="s">
        <v>46</v>
      </c>
      <c r="Q64" s="1" t="s">
        <v>31</v>
      </c>
      <c r="R64" s="1" t="s">
        <v>38</v>
      </c>
      <c r="S64" s="1" t="s">
        <v>39</v>
      </c>
      <c r="T64" s="1" t="s">
        <v>40</v>
      </c>
      <c r="U64" s="1" t="s">
        <v>32</v>
      </c>
      <c r="V64">
        <v>1944733</v>
      </c>
      <c r="W64" s="1" t="s">
        <v>33</v>
      </c>
      <c r="X64" s="1" t="s">
        <v>28</v>
      </c>
      <c r="Y64" s="1" t="s">
        <v>28</v>
      </c>
      <c r="Z64" s="1" t="s">
        <v>28</v>
      </c>
      <c r="AA64" s="1" t="s">
        <v>28</v>
      </c>
    </row>
    <row r="65" spans="1:27" x14ac:dyDescent="0.35">
      <c r="A65" t="s">
        <v>166</v>
      </c>
      <c r="B65">
        <v>327543</v>
      </c>
      <c r="C65" s="1" t="s">
        <v>28</v>
      </c>
      <c r="D65" s="11">
        <v>1309176.47</v>
      </c>
      <c r="E65" s="1" t="s">
        <v>35</v>
      </c>
      <c r="F65">
        <v>40139</v>
      </c>
      <c r="G65" s="2">
        <v>45991</v>
      </c>
      <c r="H65" s="1" t="s">
        <v>28</v>
      </c>
      <c r="I65" s="1" t="s">
        <v>28</v>
      </c>
      <c r="J65">
        <v>7</v>
      </c>
      <c r="K65" s="1" t="s">
        <v>36</v>
      </c>
      <c r="L65" s="1" t="s">
        <v>28</v>
      </c>
      <c r="O65" s="1" t="s">
        <v>28</v>
      </c>
      <c r="P65" s="1" t="s">
        <v>37</v>
      </c>
      <c r="Q65" s="1" t="s">
        <v>31</v>
      </c>
      <c r="R65" s="1" t="s">
        <v>38</v>
      </c>
      <c r="S65" s="1" t="s">
        <v>39</v>
      </c>
      <c r="T65" s="1" t="s">
        <v>40</v>
      </c>
      <c r="U65" s="1" t="s">
        <v>32</v>
      </c>
      <c r="V65">
        <v>1944733</v>
      </c>
      <c r="W65" s="1" t="s">
        <v>33</v>
      </c>
      <c r="X65" s="1" t="s">
        <v>28</v>
      </c>
      <c r="Y65" s="1" t="s">
        <v>28</v>
      </c>
      <c r="Z65" s="1" t="s">
        <v>28</v>
      </c>
      <c r="AA65" s="1" t="s">
        <v>28</v>
      </c>
    </row>
    <row r="66" spans="1:27" x14ac:dyDescent="0.35">
      <c r="A66" t="s">
        <v>166</v>
      </c>
      <c r="B66">
        <v>439096</v>
      </c>
      <c r="C66" s="1" t="s">
        <v>28</v>
      </c>
      <c r="D66" s="11">
        <v>35792.449999999997</v>
      </c>
      <c r="E66" s="1" t="s">
        <v>35</v>
      </c>
      <c r="F66">
        <v>40139</v>
      </c>
      <c r="G66" s="2">
        <v>45991</v>
      </c>
      <c r="H66" s="1" t="s">
        <v>28</v>
      </c>
      <c r="I66" s="1" t="s">
        <v>28</v>
      </c>
      <c r="J66">
        <v>8</v>
      </c>
      <c r="K66" s="1" t="s">
        <v>36</v>
      </c>
      <c r="L66" s="1" t="s">
        <v>28</v>
      </c>
      <c r="O66" s="1" t="s">
        <v>28</v>
      </c>
      <c r="P66" s="1" t="s">
        <v>47</v>
      </c>
      <c r="Q66" s="1" t="s">
        <v>31</v>
      </c>
      <c r="R66" s="1" t="s">
        <v>38</v>
      </c>
      <c r="S66" s="1" t="s">
        <v>39</v>
      </c>
      <c r="T66" s="1" t="s">
        <v>40</v>
      </c>
      <c r="U66" s="1" t="s">
        <v>32</v>
      </c>
      <c r="V66">
        <v>1944733</v>
      </c>
      <c r="W66" s="1" t="s">
        <v>33</v>
      </c>
      <c r="X66" s="1" t="s">
        <v>28</v>
      </c>
      <c r="Y66" s="1" t="s">
        <v>28</v>
      </c>
      <c r="Z66" s="1" t="s">
        <v>28</v>
      </c>
      <c r="AA66" s="1" t="s">
        <v>28</v>
      </c>
    </row>
    <row r="67" spans="1:27" x14ac:dyDescent="0.35">
      <c r="A67" t="s">
        <v>166</v>
      </c>
      <c r="B67">
        <v>439097</v>
      </c>
      <c r="C67" s="1" t="s">
        <v>28</v>
      </c>
      <c r="D67" s="11">
        <v>-273097</v>
      </c>
      <c r="E67" s="1" t="s">
        <v>35</v>
      </c>
      <c r="F67">
        <v>40140</v>
      </c>
      <c r="G67" s="2">
        <v>45991</v>
      </c>
      <c r="H67" s="1" t="s">
        <v>28</v>
      </c>
      <c r="I67" s="1" t="s">
        <v>28</v>
      </c>
      <c r="J67">
        <v>5</v>
      </c>
      <c r="K67" s="1" t="s">
        <v>36</v>
      </c>
      <c r="L67" s="1" t="s">
        <v>28</v>
      </c>
      <c r="O67" s="1" t="s">
        <v>28</v>
      </c>
      <c r="P67" s="1" t="s">
        <v>44</v>
      </c>
      <c r="Q67" s="1" t="s">
        <v>31</v>
      </c>
      <c r="R67" s="1" t="s">
        <v>38</v>
      </c>
      <c r="S67" s="1" t="s">
        <v>41</v>
      </c>
      <c r="T67" s="1" t="s">
        <v>40</v>
      </c>
      <c r="U67" s="1" t="s">
        <v>32</v>
      </c>
      <c r="V67">
        <v>1944733</v>
      </c>
      <c r="W67" s="1" t="s">
        <v>33</v>
      </c>
      <c r="X67" s="1" t="s">
        <v>28</v>
      </c>
      <c r="Y67" s="1" t="s">
        <v>28</v>
      </c>
      <c r="Z67" s="1" t="s">
        <v>28</v>
      </c>
      <c r="AA67" s="1" t="s">
        <v>28</v>
      </c>
    </row>
    <row r="68" spans="1:27" x14ac:dyDescent="0.35">
      <c r="A68" t="s">
        <v>167</v>
      </c>
      <c r="B68">
        <v>438068</v>
      </c>
      <c r="C68" s="1" t="s">
        <v>28</v>
      </c>
      <c r="D68" s="11">
        <v>-170759.21</v>
      </c>
      <c r="E68" s="1" t="s">
        <v>35</v>
      </c>
      <c r="F68">
        <v>40140</v>
      </c>
      <c r="G68" s="2">
        <v>45991</v>
      </c>
      <c r="H68" s="1" t="s">
        <v>28</v>
      </c>
      <c r="I68" s="1" t="s">
        <v>28</v>
      </c>
      <c r="J68">
        <v>6</v>
      </c>
      <c r="K68" s="1" t="s">
        <v>36</v>
      </c>
      <c r="L68" s="1" t="s">
        <v>28</v>
      </c>
      <c r="O68" s="1" t="s">
        <v>28</v>
      </c>
      <c r="P68" s="1" t="s">
        <v>46</v>
      </c>
      <c r="Q68" s="1" t="s">
        <v>31</v>
      </c>
      <c r="R68" s="1" t="s">
        <v>38</v>
      </c>
      <c r="S68" s="1" t="s">
        <v>41</v>
      </c>
      <c r="T68" s="1" t="s">
        <v>40</v>
      </c>
      <c r="U68" s="1" t="s">
        <v>32</v>
      </c>
      <c r="V68">
        <v>1944733</v>
      </c>
      <c r="W68" s="1" t="s">
        <v>33</v>
      </c>
      <c r="X68" s="1" t="s">
        <v>28</v>
      </c>
      <c r="Y68" s="1" t="s">
        <v>28</v>
      </c>
      <c r="Z68" s="1" t="s">
        <v>28</v>
      </c>
      <c r="AA68" s="1" t="s">
        <v>28</v>
      </c>
    </row>
    <row r="69" spans="1:27" x14ac:dyDescent="0.35">
      <c r="A69" t="s">
        <v>166</v>
      </c>
      <c r="B69">
        <v>327543</v>
      </c>
      <c r="C69" s="1" t="s">
        <v>28</v>
      </c>
      <c r="D69" s="11">
        <v>-2144781.0699999998</v>
      </c>
      <c r="E69" s="1" t="s">
        <v>35</v>
      </c>
      <c r="F69">
        <v>40140</v>
      </c>
      <c r="G69" s="2">
        <v>45991</v>
      </c>
      <c r="H69" s="1" t="s">
        <v>28</v>
      </c>
      <c r="I69" s="1" t="s">
        <v>28</v>
      </c>
      <c r="J69">
        <v>7</v>
      </c>
      <c r="K69" s="1" t="s">
        <v>36</v>
      </c>
      <c r="L69" s="1" t="s">
        <v>28</v>
      </c>
      <c r="O69" s="1" t="s">
        <v>28</v>
      </c>
      <c r="P69" s="1" t="s">
        <v>37</v>
      </c>
      <c r="Q69" s="1" t="s">
        <v>31</v>
      </c>
      <c r="R69" s="1" t="s">
        <v>38</v>
      </c>
      <c r="S69" s="1" t="s">
        <v>41</v>
      </c>
      <c r="T69" s="1" t="s">
        <v>40</v>
      </c>
      <c r="U69" s="1" t="s">
        <v>32</v>
      </c>
      <c r="V69">
        <v>1944733</v>
      </c>
      <c r="W69" s="1" t="s">
        <v>33</v>
      </c>
      <c r="X69" s="1" t="s">
        <v>28</v>
      </c>
      <c r="Y69" s="1" t="s">
        <v>28</v>
      </c>
      <c r="Z69" s="1" t="s">
        <v>28</v>
      </c>
      <c r="AA69" s="1" t="s">
        <v>28</v>
      </c>
    </row>
    <row r="70" spans="1:27" x14ac:dyDescent="0.35">
      <c r="A70" t="s">
        <v>166</v>
      </c>
      <c r="B70">
        <v>439096</v>
      </c>
      <c r="C70" s="1" t="s">
        <v>28</v>
      </c>
      <c r="D70" s="11">
        <v>-52712.23</v>
      </c>
      <c r="E70" s="1" t="s">
        <v>35</v>
      </c>
      <c r="F70">
        <v>40140</v>
      </c>
      <c r="G70" s="2">
        <v>45991</v>
      </c>
      <c r="H70" s="1" t="s">
        <v>28</v>
      </c>
      <c r="I70" s="1" t="s">
        <v>28</v>
      </c>
      <c r="J70">
        <v>8</v>
      </c>
      <c r="K70" s="1" t="s">
        <v>36</v>
      </c>
      <c r="L70" s="1" t="s">
        <v>28</v>
      </c>
      <c r="O70" s="1" t="s">
        <v>28</v>
      </c>
      <c r="P70" s="1" t="s">
        <v>47</v>
      </c>
      <c r="Q70" s="1" t="s">
        <v>31</v>
      </c>
      <c r="R70" s="1" t="s">
        <v>38</v>
      </c>
      <c r="S70" s="1" t="s">
        <v>41</v>
      </c>
      <c r="T70" s="1" t="s">
        <v>40</v>
      </c>
      <c r="U70" s="1" t="s">
        <v>32</v>
      </c>
      <c r="V70">
        <v>1944733</v>
      </c>
      <c r="W70" s="1" t="s">
        <v>33</v>
      </c>
      <c r="X70" s="1" t="s">
        <v>28</v>
      </c>
      <c r="Y70" s="1" t="s">
        <v>28</v>
      </c>
      <c r="Z70" s="1" t="s">
        <v>28</v>
      </c>
      <c r="AA70" s="1" t="s">
        <v>28</v>
      </c>
    </row>
    <row r="71" spans="1:27" x14ac:dyDescent="0.35">
      <c r="A71" t="s">
        <v>166</v>
      </c>
      <c r="B71">
        <v>439097</v>
      </c>
      <c r="C71" s="1" t="s">
        <v>28</v>
      </c>
      <c r="D71" s="11">
        <v>372831.63</v>
      </c>
      <c r="E71" s="1" t="s">
        <v>35</v>
      </c>
      <c r="F71">
        <v>40141</v>
      </c>
      <c r="G71" s="2">
        <v>45991</v>
      </c>
      <c r="H71" s="1" t="s">
        <v>28</v>
      </c>
      <c r="I71" s="1" t="s">
        <v>28</v>
      </c>
      <c r="J71">
        <v>5</v>
      </c>
      <c r="K71" s="1" t="s">
        <v>36</v>
      </c>
      <c r="L71" s="1" t="s">
        <v>28</v>
      </c>
      <c r="O71" s="1" t="s">
        <v>28</v>
      </c>
      <c r="P71" s="1" t="s">
        <v>44</v>
      </c>
      <c r="Q71" s="1" t="s">
        <v>31</v>
      </c>
      <c r="R71" s="1" t="s">
        <v>38</v>
      </c>
      <c r="S71" s="1" t="s">
        <v>39</v>
      </c>
      <c r="T71" s="1" t="s">
        <v>40</v>
      </c>
      <c r="U71" s="1" t="s">
        <v>32</v>
      </c>
      <c r="V71">
        <v>1944733</v>
      </c>
      <c r="W71" s="1" t="s">
        <v>33</v>
      </c>
      <c r="X71" s="1" t="s">
        <v>28</v>
      </c>
      <c r="Y71" s="1" t="s">
        <v>28</v>
      </c>
      <c r="Z71" s="1" t="s">
        <v>28</v>
      </c>
      <c r="AA71" s="1" t="s">
        <v>28</v>
      </c>
    </row>
    <row r="72" spans="1:27" x14ac:dyDescent="0.35">
      <c r="A72" t="s">
        <v>167</v>
      </c>
      <c r="B72">
        <v>438068</v>
      </c>
      <c r="C72" s="1" t="s">
        <v>28</v>
      </c>
      <c r="D72" s="11">
        <v>233120.22</v>
      </c>
      <c r="E72" s="1" t="s">
        <v>35</v>
      </c>
      <c r="F72">
        <v>40141</v>
      </c>
      <c r="G72" s="2">
        <v>45991</v>
      </c>
      <c r="H72" s="1" t="s">
        <v>28</v>
      </c>
      <c r="I72" s="1" t="s">
        <v>28</v>
      </c>
      <c r="J72">
        <v>6</v>
      </c>
      <c r="K72" s="1" t="s">
        <v>36</v>
      </c>
      <c r="L72" s="1" t="s">
        <v>28</v>
      </c>
      <c r="O72" s="1" t="s">
        <v>28</v>
      </c>
      <c r="P72" s="1" t="s">
        <v>46</v>
      </c>
      <c r="Q72" s="1" t="s">
        <v>31</v>
      </c>
      <c r="R72" s="1" t="s">
        <v>38</v>
      </c>
      <c r="S72" s="1" t="s">
        <v>39</v>
      </c>
      <c r="T72" s="1" t="s">
        <v>40</v>
      </c>
      <c r="U72" s="1" t="s">
        <v>32</v>
      </c>
      <c r="V72">
        <v>1944733</v>
      </c>
      <c r="W72" s="1" t="s">
        <v>33</v>
      </c>
      <c r="X72" s="1" t="s">
        <v>28</v>
      </c>
      <c r="Y72" s="1" t="s">
        <v>28</v>
      </c>
      <c r="Z72" s="1" t="s">
        <v>28</v>
      </c>
      <c r="AA72" s="1" t="s">
        <v>28</v>
      </c>
    </row>
    <row r="73" spans="1:27" x14ac:dyDescent="0.35">
      <c r="A73" t="s">
        <v>166</v>
      </c>
      <c r="B73">
        <v>327543</v>
      </c>
      <c r="C73" s="1" t="s">
        <v>28</v>
      </c>
      <c r="D73" s="11">
        <v>2584707.37</v>
      </c>
      <c r="E73" s="1" t="s">
        <v>35</v>
      </c>
      <c r="F73">
        <v>40141</v>
      </c>
      <c r="G73" s="2">
        <v>45991</v>
      </c>
      <c r="H73" s="1" t="s">
        <v>28</v>
      </c>
      <c r="I73" s="1" t="s">
        <v>28</v>
      </c>
      <c r="J73">
        <v>7</v>
      </c>
      <c r="K73" s="1" t="s">
        <v>36</v>
      </c>
      <c r="L73" s="1" t="s">
        <v>28</v>
      </c>
      <c r="O73" s="1" t="s">
        <v>28</v>
      </c>
      <c r="P73" s="1" t="s">
        <v>37</v>
      </c>
      <c r="Q73" s="1" t="s">
        <v>31</v>
      </c>
      <c r="R73" s="1" t="s">
        <v>38</v>
      </c>
      <c r="S73" s="1" t="s">
        <v>39</v>
      </c>
      <c r="T73" s="1" t="s">
        <v>40</v>
      </c>
      <c r="U73" s="1" t="s">
        <v>32</v>
      </c>
      <c r="V73">
        <v>1944733</v>
      </c>
      <c r="W73" s="1" t="s">
        <v>33</v>
      </c>
      <c r="X73" s="1" t="s">
        <v>28</v>
      </c>
      <c r="Y73" s="1" t="s">
        <v>28</v>
      </c>
      <c r="Z73" s="1" t="s">
        <v>28</v>
      </c>
      <c r="AA73" s="1" t="s">
        <v>28</v>
      </c>
    </row>
    <row r="74" spans="1:27" x14ac:dyDescent="0.35">
      <c r="A74" t="s">
        <v>166</v>
      </c>
      <c r="B74">
        <v>439096</v>
      </c>
      <c r="C74" s="1" t="s">
        <v>28</v>
      </c>
      <c r="D74" s="11">
        <v>71962.66</v>
      </c>
      <c r="E74" s="1" t="s">
        <v>35</v>
      </c>
      <c r="F74">
        <v>40141</v>
      </c>
      <c r="G74" s="2">
        <v>45991</v>
      </c>
      <c r="H74" s="1" t="s">
        <v>28</v>
      </c>
      <c r="I74" s="1" t="s">
        <v>28</v>
      </c>
      <c r="J74">
        <v>8</v>
      </c>
      <c r="K74" s="1" t="s">
        <v>36</v>
      </c>
      <c r="L74" s="1" t="s">
        <v>28</v>
      </c>
      <c r="O74" s="1" t="s">
        <v>28</v>
      </c>
      <c r="P74" s="1" t="s">
        <v>47</v>
      </c>
      <c r="Q74" s="1" t="s">
        <v>31</v>
      </c>
      <c r="R74" s="1" t="s">
        <v>38</v>
      </c>
      <c r="S74" s="1" t="s">
        <v>39</v>
      </c>
      <c r="T74" s="1" t="s">
        <v>40</v>
      </c>
      <c r="U74" s="1" t="s">
        <v>32</v>
      </c>
      <c r="V74">
        <v>1944733</v>
      </c>
      <c r="W74" s="1" t="s">
        <v>33</v>
      </c>
      <c r="X74" s="1" t="s">
        <v>28</v>
      </c>
      <c r="Y74" s="1" t="s">
        <v>28</v>
      </c>
      <c r="Z74" s="1" t="s">
        <v>28</v>
      </c>
      <c r="AA74" s="1" t="s">
        <v>28</v>
      </c>
    </row>
    <row r="75" spans="1:27" x14ac:dyDescent="0.35">
      <c r="A75" t="s">
        <v>166</v>
      </c>
      <c r="B75">
        <v>439097</v>
      </c>
      <c r="C75" s="1" t="s">
        <v>28</v>
      </c>
      <c r="D75" s="11">
        <v>118650.1</v>
      </c>
      <c r="E75" s="1" t="s">
        <v>35</v>
      </c>
      <c r="F75">
        <v>40143</v>
      </c>
      <c r="G75" s="2">
        <v>45991</v>
      </c>
      <c r="H75" s="1" t="s">
        <v>28</v>
      </c>
      <c r="I75" s="1" t="s">
        <v>28</v>
      </c>
      <c r="J75">
        <v>5</v>
      </c>
      <c r="K75" s="1" t="s">
        <v>36</v>
      </c>
      <c r="L75" s="1" t="s">
        <v>28</v>
      </c>
      <c r="O75" s="1" t="s">
        <v>28</v>
      </c>
      <c r="P75" s="1" t="s">
        <v>44</v>
      </c>
      <c r="Q75" s="1" t="s">
        <v>31</v>
      </c>
      <c r="R75" s="1" t="s">
        <v>38</v>
      </c>
      <c r="S75" s="1" t="s">
        <v>43</v>
      </c>
      <c r="T75" s="1" t="s">
        <v>40</v>
      </c>
      <c r="U75" s="1" t="s">
        <v>32</v>
      </c>
      <c r="V75">
        <v>1944733</v>
      </c>
      <c r="W75" s="1" t="s">
        <v>33</v>
      </c>
      <c r="X75" s="1" t="s">
        <v>28</v>
      </c>
      <c r="Y75" s="1" t="s">
        <v>28</v>
      </c>
      <c r="Z75" s="1" t="s">
        <v>28</v>
      </c>
      <c r="AA75" s="1" t="s">
        <v>28</v>
      </c>
    </row>
    <row r="76" spans="1:27" x14ac:dyDescent="0.35">
      <c r="A76" t="s">
        <v>167</v>
      </c>
      <c r="B76">
        <v>438068</v>
      </c>
      <c r="C76" s="1" t="s">
        <v>28</v>
      </c>
      <c r="D76" s="11">
        <v>74188.28</v>
      </c>
      <c r="E76" s="1" t="s">
        <v>35</v>
      </c>
      <c r="F76">
        <v>40143</v>
      </c>
      <c r="G76" s="2">
        <v>45991</v>
      </c>
      <c r="H76" s="1" t="s">
        <v>28</v>
      </c>
      <c r="I76" s="1" t="s">
        <v>28</v>
      </c>
      <c r="J76">
        <v>6</v>
      </c>
      <c r="K76" s="1" t="s">
        <v>36</v>
      </c>
      <c r="L76" s="1" t="s">
        <v>28</v>
      </c>
      <c r="O76" s="1" t="s">
        <v>28</v>
      </c>
      <c r="P76" s="1" t="s">
        <v>46</v>
      </c>
      <c r="Q76" s="1" t="s">
        <v>31</v>
      </c>
      <c r="R76" s="1" t="s">
        <v>38</v>
      </c>
      <c r="S76" s="1" t="s">
        <v>43</v>
      </c>
      <c r="T76" s="1" t="s">
        <v>40</v>
      </c>
      <c r="U76" s="1" t="s">
        <v>32</v>
      </c>
      <c r="V76">
        <v>1944733</v>
      </c>
      <c r="W76" s="1" t="s">
        <v>33</v>
      </c>
      <c r="X76" s="1" t="s">
        <v>28</v>
      </c>
      <c r="Y76" s="1" t="s">
        <v>28</v>
      </c>
      <c r="Z76" s="1" t="s">
        <v>28</v>
      </c>
      <c r="AA76" s="1" t="s">
        <v>28</v>
      </c>
    </row>
    <row r="77" spans="1:27" x14ac:dyDescent="0.35">
      <c r="A77" t="s">
        <v>166</v>
      </c>
      <c r="B77">
        <v>327543</v>
      </c>
      <c r="C77" s="1" t="s">
        <v>28</v>
      </c>
      <c r="D77" s="11">
        <v>763461.08</v>
      </c>
      <c r="E77" s="1" t="s">
        <v>35</v>
      </c>
      <c r="F77">
        <v>40143</v>
      </c>
      <c r="G77" s="2">
        <v>45991</v>
      </c>
      <c r="H77" s="1" t="s">
        <v>28</v>
      </c>
      <c r="I77" s="1" t="s">
        <v>28</v>
      </c>
      <c r="J77">
        <v>7</v>
      </c>
      <c r="K77" s="1" t="s">
        <v>36</v>
      </c>
      <c r="L77" s="1" t="s">
        <v>28</v>
      </c>
      <c r="O77" s="1" t="s">
        <v>28</v>
      </c>
      <c r="P77" s="1" t="s">
        <v>37</v>
      </c>
      <c r="Q77" s="1" t="s">
        <v>31</v>
      </c>
      <c r="R77" s="1" t="s">
        <v>38</v>
      </c>
      <c r="S77" s="1" t="s">
        <v>43</v>
      </c>
      <c r="T77" s="1" t="s">
        <v>40</v>
      </c>
      <c r="U77" s="1" t="s">
        <v>32</v>
      </c>
      <c r="V77">
        <v>1944733</v>
      </c>
      <c r="W77" s="1" t="s">
        <v>33</v>
      </c>
      <c r="X77" s="1" t="s">
        <v>28</v>
      </c>
      <c r="Y77" s="1" t="s">
        <v>28</v>
      </c>
      <c r="Z77" s="1" t="s">
        <v>28</v>
      </c>
      <c r="AA77" s="1" t="s">
        <v>28</v>
      </c>
    </row>
    <row r="78" spans="1:27" x14ac:dyDescent="0.35">
      <c r="A78" t="s">
        <v>166</v>
      </c>
      <c r="B78">
        <v>439096</v>
      </c>
      <c r="C78" s="1" t="s">
        <v>28</v>
      </c>
      <c r="D78" s="11">
        <v>22901.43</v>
      </c>
      <c r="E78" s="1" t="s">
        <v>35</v>
      </c>
      <c r="F78">
        <v>40143</v>
      </c>
      <c r="G78" s="2">
        <v>45991</v>
      </c>
      <c r="H78" s="1" t="s">
        <v>28</v>
      </c>
      <c r="I78" s="1" t="s">
        <v>28</v>
      </c>
      <c r="J78">
        <v>8</v>
      </c>
      <c r="K78" s="1" t="s">
        <v>36</v>
      </c>
      <c r="L78" s="1" t="s">
        <v>28</v>
      </c>
      <c r="O78" s="1" t="s">
        <v>28</v>
      </c>
      <c r="P78" s="1" t="s">
        <v>47</v>
      </c>
      <c r="Q78" s="1" t="s">
        <v>31</v>
      </c>
      <c r="R78" s="1" t="s">
        <v>38</v>
      </c>
      <c r="S78" s="1" t="s">
        <v>43</v>
      </c>
      <c r="T78" s="1" t="s">
        <v>40</v>
      </c>
      <c r="U78" s="1" t="s">
        <v>32</v>
      </c>
      <c r="V78">
        <v>1944733</v>
      </c>
      <c r="W78" s="1" t="s">
        <v>33</v>
      </c>
      <c r="X78" s="1" t="s">
        <v>28</v>
      </c>
      <c r="Y78" s="1" t="s">
        <v>28</v>
      </c>
      <c r="Z78" s="1" t="s">
        <v>28</v>
      </c>
      <c r="AA78" s="1" t="s">
        <v>28</v>
      </c>
    </row>
    <row r="79" spans="1:27" x14ac:dyDescent="0.35">
      <c r="A79" t="s">
        <v>166</v>
      </c>
      <c r="B79">
        <v>439097</v>
      </c>
      <c r="C79" s="1" t="s">
        <v>28</v>
      </c>
      <c r="D79" s="11">
        <v>41871.17</v>
      </c>
      <c r="E79" s="1" t="s">
        <v>35</v>
      </c>
      <c r="F79">
        <v>40144</v>
      </c>
      <c r="G79" s="2">
        <v>45991</v>
      </c>
      <c r="H79" s="1" t="s">
        <v>28</v>
      </c>
      <c r="I79" s="1" t="s">
        <v>28</v>
      </c>
      <c r="J79">
        <v>5</v>
      </c>
      <c r="K79" s="1" t="s">
        <v>36</v>
      </c>
      <c r="L79" s="1" t="s">
        <v>28</v>
      </c>
      <c r="O79" s="1" t="s">
        <v>28</v>
      </c>
      <c r="P79" s="1" t="s">
        <v>44</v>
      </c>
      <c r="Q79" s="1" t="s">
        <v>31</v>
      </c>
      <c r="R79" s="1" t="s">
        <v>38</v>
      </c>
      <c r="S79" s="1" t="s">
        <v>45</v>
      </c>
      <c r="T79" s="1" t="s">
        <v>40</v>
      </c>
      <c r="U79" s="1" t="s">
        <v>32</v>
      </c>
      <c r="V79">
        <v>1944733</v>
      </c>
      <c r="W79" s="1" t="s">
        <v>33</v>
      </c>
      <c r="X79" s="1" t="s">
        <v>28</v>
      </c>
      <c r="Y79" s="1" t="s">
        <v>28</v>
      </c>
      <c r="Z79" s="1" t="s">
        <v>28</v>
      </c>
      <c r="AA79" s="1" t="s">
        <v>28</v>
      </c>
    </row>
    <row r="80" spans="1:27" x14ac:dyDescent="0.35">
      <c r="A80" t="s">
        <v>167</v>
      </c>
      <c r="B80">
        <v>438068</v>
      </c>
      <c r="C80" s="1" t="s">
        <v>28</v>
      </c>
      <c r="D80" s="11">
        <v>26180.76</v>
      </c>
      <c r="E80" s="1" t="s">
        <v>35</v>
      </c>
      <c r="F80">
        <v>40144</v>
      </c>
      <c r="G80" s="2">
        <v>45991</v>
      </c>
      <c r="H80" s="1" t="s">
        <v>28</v>
      </c>
      <c r="I80" s="1" t="s">
        <v>28</v>
      </c>
      <c r="J80">
        <v>6</v>
      </c>
      <c r="K80" s="1" t="s">
        <v>36</v>
      </c>
      <c r="L80" s="1" t="s">
        <v>28</v>
      </c>
      <c r="O80" s="1" t="s">
        <v>28</v>
      </c>
      <c r="P80" s="1" t="s">
        <v>46</v>
      </c>
      <c r="Q80" s="1" t="s">
        <v>31</v>
      </c>
      <c r="R80" s="1" t="s">
        <v>38</v>
      </c>
      <c r="S80" s="1" t="s">
        <v>45</v>
      </c>
      <c r="T80" s="1" t="s">
        <v>40</v>
      </c>
      <c r="U80" s="1" t="s">
        <v>32</v>
      </c>
      <c r="V80">
        <v>1944733</v>
      </c>
      <c r="W80" s="1" t="s">
        <v>33</v>
      </c>
      <c r="X80" s="1" t="s">
        <v>28</v>
      </c>
      <c r="Y80" s="1" t="s">
        <v>28</v>
      </c>
      <c r="Z80" s="1" t="s">
        <v>28</v>
      </c>
      <c r="AA80" s="1" t="s">
        <v>28</v>
      </c>
    </row>
    <row r="81" spans="1:27" x14ac:dyDescent="0.35">
      <c r="A81" t="s">
        <v>166</v>
      </c>
      <c r="B81">
        <v>327543</v>
      </c>
      <c r="C81" s="1" t="s">
        <v>28</v>
      </c>
      <c r="D81" s="11">
        <v>261371.68</v>
      </c>
      <c r="E81" s="1" t="s">
        <v>35</v>
      </c>
      <c r="F81">
        <v>40144</v>
      </c>
      <c r="G81" s="2">
        <v>45991</v>
      </c>
      <c r="H81" s="1" t="s">
        <v>28</v>
      </c>
      <c r="I81" s="1" t="s">
        <v>28</v>
      </c>
      <c r="J81">
        <v>7</v>
      </c>
      <c r="K81" s="1" t="s">
        <v>36</v>
      </c>
      <c r="L81" s="1" t="s">
        <v>28</v>
      </c>
      <c r="O81" s="1" t="s">
        <v>28</v>
      </c>
      <c r="P81" s="1" t="s">
        <v>37</v>
      </c>
      <c r="Q81" s="1" t="s">
        <v>31</v>
      </c>
      <c r="R81" s="1" t="s">
        <v>38</v>
      </c>
      <c r="S81" s="1" t="s">
        <v>45</v>
      </c>
      <c r="T81" s="1" t="s">
        <v>40</v>
      </c>
      <c r="U81" s="1" t="s">
        <v>32</v>
      </c>
      <c r="V81">
        <v>1944733</v>
      </c>
      <c r="W81" s="1" t="s">
        <v>33</v>
      </c>
      <c r="X81" s="1" t="s">
        <v>28</v>
      </c>
      <c r="Y81" s="1" t="s">
        <v>28</v>
      </c>
      <c r="Z81" s="1" t="s">
        <v>28</v>
      </c>
      <c r="AA81" s="1" t="s">
        <v>28</v>
      </c>
    </row>
    <row r="82" spans="1:27" x14ac:dyDescent="0.35">
      <c r="A82" t="s">
        <v>166</v>
      </c>
      <c r="B82">
        <v>439096</v>
      </c>
      <c r="C82" s="1" t="s">
        <v>28</v>
      </c>
      <c r="D82" s="11">
        <v>8081.83</v>
      </c>
      <c r="E82" s="1" t="s">
        <v>35</v>
      </c>
      <c r="F82">
        <v>40144</v>
      </c>
      <c r="G82" s="2">
        <v>45991</v>
      </c>
      <c r="H82" s="1" t="s">
        <v>28</v>
      </c>
      <c r="I82" s="1" t="s">
        <v>28</v>
      </c>
      <c r="J82">
        <v>8</v>
      </c>
      <c r="K82" s="1" t="s">
        <v>36</v>
      </c>
      <c r="L82" s="1" t="s">
        <v>28</v>
      </c>
      <c r="O82" s="1" t="s">
        <v>28</v>
      </c>
      <c r="P82" s="1" t="s">
        <v>47</v>
      </c>
      <c r="Q82" s="1" t="s">
        <v>31</v>
      </c>
      <c r="R82" s="1" t="s">
        <v>38</v>
      </c>
      <c r="S82" s="1" t="s">
        <v>45</v>
      </c>
      <c r="T82" s="1" t="s">
        <v>40</v>
      </c>
      <c r="U82" s="1" t="s">
        <v>32</v>
      </c>
      <c r="V82">
        <v>1944733</v>
      </c>
      <c r="W82" s="1" t="s">
        <v>33</v>
      </c>
      <c r="X82" s="1" t="s">
        <v>28</v>
      </c>
      <c r="Y82" s="1" t="s">
        <v>28</v>
      </c>
      <c r="Z82" s="1" t="s">
        <v>28</v>
      </c>
      <c r="AA82" s="1" t="s">
        <v>28</v>
      </c>
    </row>
    <row r="83" spans="1:27" x14ac:dyDescent="0.35">
      <c r="A83" t="s">
        <v>166</v>
      </c>
      <c r="B83">
        <v>439097</v>
      </c>
      <c r="C83" s="1" t="s">
        <v>28</v>
      </c>
      <c r="D83" s="11">
        <v>-7257.54</v>
      </c>
      <c r="E83" s="1" t="s">
        <v>35</v>
      </c>
      <c r="F83">
        <v>40145</v>
      </c>
      <c r="G83" s="2">
        <v>45991</v>
      </c>
      <c r="H83" s="1" t="s">
        <v>28</v>
      </c>
      <c r="I83" s="1" t="s">
        <v>28</v>
      </c>
      <c r="J83">
        <v>5</v>
      </c>
      <c r="K83" s="1" t="s">
        <v>36</v>
      </c>
      <c r="L83" s="1" t="s">
        <v>28</v>
      </c>
      <c r="O83" s="1" t="s">
        <v>28</v>
      </c>
      <c r="P83" s="1" t="s">
        <v>44</v>
      </c>
      <c r="Q83" s="1" t="s">
        <v>31</v>
      </c>
      <c r="R83" s="1" t="s">
        <v>38</v>
      </c>
      <c r="S83" s="1" t="s">
        <v>48</v>
      </c>
      <c r="T83" s="1" t="s">
        <v>40</v>
      </c>
      <c r="U83" s="1" t="s">
        <v>32</v>
      </c>
      <c r="V83">
        <v>1944733</v>
      </c>
      <c r="W83" s="1" t="s">
        <v>33</v>
      </c>
      <c r="X83" s="1" t="s">
        <v>28</v>
      </c>
      <c r="Y83" s="1" t="s">
        <v>28</v>
      </c>
      <c r="Z83" s="1" t="s">
        <v>28</v>
      </c>
      <c r="AA83" s="1" t="s">
        <v>28</v>
      </c>
    </row>
    <row r="84" spans="1:27" x14ac:dyDescent="0.35">
      <c r="A84" t="s">
        <v>167</v>
      </c>
      <c r="B84">
        <v>438068</v>
      </c>
      <c r="C84" s="1" t="s">
        <v>28</v>
      </c>
      <c r="D84" s="11">
        <v>-4537.92</v>
      </c>
      <c r="E84" s="1" t="s">
        <v>35</v>
      </c>
      <c r="F84">
        <v>40145</v>
      </c>
      <c r="G84" s="2">
        <v>45991</v>
      </c>
      <c r="H84" s="1" t="s">
        <v>28</v>
      </c>
      <c r="I84" s="1" t="s">
        <v>28</v>
      </c>
      <c r="J84">
        <v>6</v>
      </c>
      <c r="K84" s="1" t="s">
        <v>36</v>
      </c>
      <c r="L84" s="1" t="s">
        <v>28</v>
      </c>
      <c r="O84" s="1" t="s">
        <v>28</v>
      </c>
      <c r="P84" s="1" t="s">
        <v>46</v>
      </c>
      <c r="Q84" s="1" t="s">
        <v>31</v>
      </c>
      <c r="R84" s="1" t="s">
        <v>38</v>
      </c>
      <c r="S84" s="1" t="s">
        <v>48</v>
      </c>
      <c r="T84" s="1" t="s">
        <v>40</v>
      </c>
      <c r="U84" s="1" t="s">
        <v>32</v>
      </c>
      <c r="V84">
        <v>1944733</v>
      </c>
      <c r="W84" s="1" t="s">
        <v>33</v>
      </c>
      <c r="X84" s="1" t="s">
        <v>28</v>
      </c>
      <c r="Y84" s="1" t="s">
        <v>28</v>
      </c>
      <c r="Z84" s="1" t="s">
        <v>28</v>
      </c>
      <c r="AA84" s="1" t="s">
        <v>28</v>
      </c>
    </row>
    <row r="85" spans="1:27" x14ac:dyDescent="0.35">
      <c r="A85" t="s">
        <v>166</v>
      </c>
      <c r="B85">
        <v>327543</v>
      </c>
      <c r="C85" s="1" t="s">
        <v>28</v>
      </c>
      <c r="D85" s="11">
        <v>-46408.49</v>
      </c>
      <c r="E85" s="1" t="s">
        <v>35</v>
      </c>
      <c r="F85">
        <v>40145</v>
      </c>
      <c r="G85" s="2">
        <v>45991</v>
      </c>
      <c r="H85" s="1" t="s">
        <v>28</v>
      </c>
      <c r="I85" s="1" t="s">
        <v>28</v>
      </c>
      <c r="J85">
        <v>7</v>
      </c>
      <c r="K85" s="1" t="s">
        <v>36</v>
      </c>
      <c r="L85" s="1" t="s">
        <v>28</v>
      </c>
      <c r="O85" s="1" t="s">
        <v>28</v>
      </c>
      <c r="P85" s="1" t="s">
        <v>37</v>
      </c>
      <c r="Q85" s="1" t="s">
        <v>31</v>
      </c>
      <c r="R85" s="1" t="s">
        <v>38</v>
      </c>
      <c r="S85" s="1" t="s">
        <v>48</v>
      </c>
      <c r="T85" s="1" t="s">
        <v>40</v>
      </c>
      <c r="U85" s="1" t="s">
        <v>32</v>
      </c>
      <c r="V85">
        <v>1944733</v>
      </c>
      <c r="W85" s="1" t="s">
        <v>33</v>
      </c>
      <c r="X85" s="1" t="s">
        <v>28</v>
      </c>
      <c r="Y85" s="1" t="s">
        <v>28</v>
      </c>
      <c r="Z85" s="1" t="s">
        <v>28</v>
      </c>
      <c r="AA85" s="1" t="s">
        <v>28</v>
      </c>
    </row>
    <row r="86" spans="1:27" x14ac:dyDescent="0.35">
      <c r="A86" t="s">
        <v>166</v>
      </c>
      <c r="B86">
        <v>439096</v>
      </c>
      <c r="C86" s="1" t="s">
        <v>28</v>
      </c>
      <c r="D86" s="11">
        <v>-1400.83</v>
      </c>
      <c r="E86" s="1" t="s">
        <v>35</v>
      </c>
      <c r="F86">
        <v>40145</v>
      </c>
      <c r="G86" s="2">
        <v>45991</v>
      </c>
      <c r="H86" s="1" t="s">
        <v>28</v>
      </c>
      <c r="I86" s="1" t="s">
        <v>28</v>
      </c>
      <c r="J86">
        <v>8</v>
      </c>
      <c r="K86" s="1" t="s">
        <v>36</v>
      </c>
      <c r="L86" s="1" t="s">
        <v>28</v>
      </c>
      <c r="O86" s="1" t="s">
        <v>28</v>
      </c>
      <c r="P86" s="1" t="s">
        <v>47</v>
      </c>
      <c r="Q86" s="1" t="s">
        <v>31</v>
      </c>
      <c r="R86" s="1" t="s">
        <v>38</v>
      </c>
      <c r="S86" s="1" t="s">
        <v>48</v>
      </c>
      <c r="T86" s="1" t="s">
        <v>40</v>
      </c>
      <c r="U86" s="1" t="s">
        <v>32</v>
      </c>
      <c r="V86">
        <v>1944733</v>
      </c>
      <c r="W86" s="1" t="s">
        <v>33</v>
      </c>
      <c r="X86" s="1" t="s">
        <v>28</v>
      </c>
      <c r="Y86" s="1" t="s">
        <v>28</v>
      </c>
      <c r="Z86" s="1" t="s">
        <v>28</v>
      </c>
      <c r="AA86" s="1" t="s">
        <v>28</v>
      </c>
    </row>
    <row r="87" spans="1:27" x14ac:dyDescent="0.35">
      <c r="A87" t="s">
        <v>166</v>
      </c>
      <c r="B87">
        <v>439097</v>
      </c>
      <c r="C87" s="1" t="s">
        <v>28</v>
      </c>
      <c r="D87" s="11">
        <v>-580699.84</v>
      </c>
      <c r="E87" s="1" t="s">
        <v>35</v>
      </c>
      <c r="F87">
        <v>40146</v>
      </c>
      <c r="G87" s="2">
        <v>45991</v>
      </c>
      <c r="H87" s="1" t="s">
        <v>28</v>
      </c>
      <c r="I87" s="1" t="s">
        <v>28</v>
      </c>
      <c r="J87">
        <v>5</v>
      </c>
      <c r="K87" s="1" t="s">
        <v>36</v>
      </c>
      <c r="L87" s="1" t="s">
        <v>28</v>
      </c>
      <c r="O87" s="1" t="s">
        <v>28</v>
      </c>
      <c r="P87" s="1" t="s">
        <v>44</v>
      </c>
      <c r="Q87" s="1" t="s">
        <v>31</v>
      </c>
      <c r="R87" s="1" t="s">
        <v>38</v>
      </c>
      <c r="S87" s="1" t="s">
        <v>45</v>
      </c>
      <c r="T87" s="1" t="s">
        <v>40</v>
      </c>
      <c r="U87" s="1" t="s">
        <v>32</v>
      </c>
      <c r="V87">
        <v>1944733</v>
      </c>
      <c r="W87" s="1" t="s">
        <v>33</v>
      </c>
      <c r="X87" s="1" t="s">
        <v>28</v>
      </c>
      <c r="Y87" s="1" t="s">
        <v>28</v>
      </c>
      <c r="Z87" s="1" t="s">
        <v>28</v>
      </c>
      <c r="AA87" s="1" t="s">
        <v>28</v>
      </c>
    </row>
    <row r="88" spans="1:27" x14ac:dyDescent="0.35">
      <c r="A88" t="s">
        <v>167</v>
      </c>
      <c r="B88">
        <v>438068</v>
      </c>
      <c r="C88" s="1" t="s">
        <v>28</v>
      </c>
      <c r="D88" s="11">
        <v>-363093.87</v>
      </c>
      <c r="E88" s="1" t="s">
        <v>35</v>
      </c>
      <c r="F88">
        <v>40146</v>
      </c>
      <c r="G88" s="2">
        <v>45991</v>
      </c>
      <c r="H88" s="1" t="s">
        <v>28</v>
      </c>
      <c r="I88" s="1" t="s">
        <v>28</v>
      </c>
      <c r="J88">
        <v>6</v>
      </c>
      <c r="K88" s="1" t="s">
        <v>36</v>
      </c>
      <c r="L88" s="1" t="s">
        <v>28</v>
      </c>
      <c r="O88" s="1" t="s">
        <v>28</v>
      </c>
      <c r="P88" s="1" t="s">
        <v>46</v>
      </c>
      <c r="Q88" s="1" t="s">
        <v>31</v>
      </c>
      <c r="R88" s="1" t="s">
        <v>38</v>
      </c>
      <c r="S88" s="1" t="s">
        <v>45</v>
      </c>
      <c r="T88" s="1" t="s">
        <v>40</v>
      </c>
      <c r="U88" s="1" t="s">
        <v>32</v>
      </c>
      <c r="V88">
        <v>1944733</v>
      </c>
      <c r="W88" s="1" t="s">
        <v>33</v>
      </c>
      <c r="X88" s="1" t="s">
        <v>28</v>
      </c>
      <c r="Y88" s="1" t="s">
        <v>28</v>
      </c>
      <c r="Z88" s="1" t="s">
        <v>28</v>
      </c>
      <c r="AA88" s="1" t="s">
        <v>28</v>
      </c>
    </row>
    <row r="89" spans="1:27" x14ac:dyDescent="0.35">
      <c r="A89" t="s">
        <v>166</v>
      </c>
      <c r="B89">
        <v>327543</v>
      </c>
      <c r="C89" s="1" t="s">
        <v>28</v>
      </c>
      <c r="D89" s="11">
        <v>-3835258.05</v>
      </c>
      <c r="E89" s="1" t="s">
        <v>35</v>
      </c>
      <c r="F89">
        <v>40146</v>
      </c>
      <c r="G89" s="2">
        <v>45991</v>
      </c>
      <c r="H89" s="1" t="s">
        <v>28</v>
      </c>
      <c r="I89" s="1" t="s">
        <v>28</v>
      </c>
      <c r="J89">
        <v>7</v>
      </c>
      <c r="K89" s="1" t="s">
        <v>36</v>
      </c>
      <c r="L89" s="1" t="s">
        <v>28</v>
      </c>
      <c r="O89" s="1" t="s">
        <v>28</v>
      </c>
      <c r="P89" s="1" t="s">
        <v>37</v>
      </c>
      <c r="Q89" s="1" t="s">
        <v>31</v>
      </c>
      <c r="R89" s="1" t="s">
        <v>38</v>
      </c>
      <c r="S89" s="1" t="s">
        <v>45</v>
      </c>
      <c r="T89" s="1" t="s">
        <v>40</v>
      </c>
      <c r="U89" s="1" t="s">
        <v>32</v>
      </c>
      <c r="V89">
        <v>1944733</v>
      </c>
      <c r="W89" s="1" t="s">
        <v>33</v>
      </c>
      <c r="X89" s="1" t="s">
        <v>28</v>
      </c>
      <c r="Y89" s="1" t="s">
        <v>28</v>
      </c>
      <c r="Z89" s="1" t="s">
        <v>28</v>
      </c>
      <c r="AA89" s="1" t="s">
        <v>28</v>
      </c>
    </row>
    <row r="90" spans="1:27" x14ac:dyDescent="0.35">
      <c r="A90" t="s">
        <v>166</v>
      </c>
      <c r="B90">
        <v>439096</v>
      </c>
      <c r="C90" s="1" t="s">
        <v>28</v>
      </c>
      <c r="D90" s="11">
        <v>-112084.67</v>
      </c>
      <c r="E90" s="1" t="s">
        <v>35</v>
      </c>
      <c r="F90">
        <v>40146</v>
      </c>
      <c r="G90" s="2">
        <v>45991</v>
      </c>
      <c r="H90" s="1" t="s">
        <v>28</v>
      </c>
      <c r="I90" s="1" t="s">
        <v>28</v>
      </c>
      <c r="J90">
        <v>8</v>
      </c>
      <c r="K90" s="1" t="s">
        <v>36</v>
      </c>
      <c r="L90" s="1" t="s">
        <v>28</v>
      </c>
      <c r="O90" s="1" t="s">
        <v>28</v>
      </c>
      <c r="P90" s="1" t="s">
        <v>47</v>
      </c>
      <c r="Q90" s="1" t="s">
        <v>31</v>
      </c>
      <c r="R90" s="1" t="s">
        <v>38</v>
      </c>
      <c r="S90" s="1" t="s">
        <v>45</v>
      </c>
      <c r="T90" s="1" t="s">
        <v>40</v>
      </c>
      <c r="U90" s="1" t="s">
        <v>32</v>
      </c>
      <c r="V90">
        <v>1944733</v>
      </c>
      <c r="W90" s="1" t="s">
        <v>33</v>
      </c>
      <c r="X90" s="1" t="s">
        <v>28</v>
      </c>
      <c r="Y90" s="1" t="s">
        <v>28</v>
      </c>
      <c r="Z90" s="1" t="s">
        <v>28</v>
      </c>
      <c r="AA90" s="1" t="s">
        <v>28</v>
      </c>
    </row>
    <row r="91" spans="1:27" x14ac:dyDescent="0.35">
      <c r="A91" t="s">
        <v>166</v>
      </c>
      <c r="B91">
        <v>439097</v>
      </c>
      <c r="C91" s="1" t="s">
        <v>28</v>
      </c>
      <c r="D91" s="11">
        <v>399327.06</v>
      </c>
      <c r="E91" s="1" t="s">
        <v>35</v>
      </c>
      <c r="F91">
        <v>40147</v>
      </c>
      <c r="G91" s="2">
        <v>45991</v>
      </c>
      <c r="H91" s="1" t="s">
        <v>28</v>
      </c>
      <c r="I91" s="1" t="s">
        <v>28</v>
      </c>
      <c r="J91">
        <v>5</v>
      </c>
      <c r="K91" s="1" t="s">
        <v>36</v>
      </c>
      <c r="L91" s="1" t="s">
        <v>28</v>
      </c>
      <c r="O91" s="1" t="s">
        <v>28</v>
      </c>
      <c r="P91" s="1" t="s">
        <v>44</v>
      </c>
      <c r="Q91" s="1" t="s">
        <v>31</v>
      </c>
      <c r="R91" s="1" t="s">
        <v>38</v>
      </c>
      <c r="S91" s="1" t="s">
        <v>49</v>
      </c>
      <c r="T91" s="1" t="s">
        <v>40</v>
      </c>
      <c r="U91" s="1" t="s">
        <v>32</v>
      </c>
      <c r="V91">
        <v>1944733</v>
      </c>
      <c r="W91" s="1" t="s">
        <v>33</v>
      </c>
      <c r="X91" s="1" t="s">
        <v>28</v>
      </c>
      <c r="Y91" s="1" t="s">
        <v>28</v>
      </c>
      <c r="Z91" s="1" t="s">
        <v>28</v>
      </c>
      <c r="AA91" s="1" t="s">
        <v>28</v>
      </c>
    </row>
    <row r="92" spans="1:27" x14ac:dyDescent="0.35">
      <c r="A92" t="s">
        <v>167</v>
      </c>
      <c r="B92">
        <v>438068</v>
      </c>
      <c r="C92" s="1" t="s">
        <v>28</v>
      </c>
      <c r="D92" s="11">
        <v>249687.01</v>
      </c>
      <c r="E92" s="1" t="s">
        <v>35</v>
      </c>
      <c r="F92">
        <v>40147</v>
      </c>
      <c r="G92" s="2">
        <v>45991</v>
      </c>
      <c r="H92" s="1" t="s">
        <v>28</v>
      </c>
      <c r="I92" s="1" t="s">
        <v>28</v>
      </c>
      <c r="J92">
        <v>6</v>
      </c>
      <c r="K92" s="1" t="s">
        <v>36</v>
      </c>
      <c r="L92" s="1" t="s">
        <v>28</v>
      </c>
      <c r="O92" s="1" t="s">
        <v>28</v>
      </c>
      <c r="P92" s="1" t="s">
        <v>46</v>
      </c>
      <c r="Q92" s="1" t="s">
        <v>31</v>
      </c>
      <c r="R92" s="1" t="s">
        <v>38</v>
      </c>
      <c r="S92" s="1" t="s">
        <v>49</v>
      </c>
      <c r="T92" s="1" t="s">
        <v>40</v>
      </c>
      <c r="U92" s="1" t="s">
        <v>32</v>
      </c>
      <c r="V92">
        <v>1944733</v>
      </c>
      <c r="W92" s="1" t="s">
        <v>33</v>
      </c>
      <c r="X92" s="1" t="s">
        <v>28</v>
      </c>
      <c r="Y92" s="1" t="s">
        <v>28</v>
      </c>
      <c r="Z92" s="1" t="s">
        <v>28</v>
      </c>
      <c r="AA92" s="1" t="s">
        <v>28</v>
      </c>
    </row>
    <row r="93" spans="1:27" x14ac:dyDescent="0.35">
      <c r="A93" t="s">
        <v>166</v>
      </c>
      <c r="B93">
        <v>327543</v>
      </c>
      <c r="C93" s="1" t="s">
        <v>28</v>
      </c>
      <c r="D93" s="11">
        <v>2555408.73</v>
      </c>
      <c r="E93" s="1" t="s">
        <v>35</v>
      </c>
      <c r="F93">
        <v>40147</v>
      </c>
      <c r="G93" s="2">
        <v>45991</v>
      </c>
      <c r="H93" s="1" t="s">
        <v>28</v>
      </c>
      <c r="I93" s="1" t="s">
        <v>28</v>
      </c>
      <c r="J93">
        <v>7</v>
      </c>
      <c r="K93" s="1" t="s">
        <v>36</v>
      </c>
      <c r="L93" s="1" t="s">
        <v>28</v>
      </c>
      <c r="O93" s="1" t="s">
        <v>28</v>
      </c>
      <c r="P93" s="1" t="s">
        <v>37</v>
      </c>
      <c r="Q93" s="1" t="s">
        <v>31</v>
      </c>
      <c r="R93" s="1" t="s">
        <v>38</v>
      </c>
      <c r="S93" s="1" t="s">
        <v>49</v>
      </c>
      <c r="T93" s="1" t="s">
        <v>40</v>
      </c>
      <c r="U93" s="1" t="s">
        <v>32</v>
      </c>
      <c r="V93">
        <v>1944733</v>
      </c>
      <c r="W93" s="1" t="s">
        <v>33</v>
      </c>
      <c r="X93" s="1" t="s">
        <v>28</v>
      </c>
      <c r="Y93" s="1" t="s">
        <v>28</v>
      </c>
      <c r="Z93" s="1" t="s">
        <v>28</v>
      </c>
      <c r="AA93" s="1" t="s">
        <v>28</v>
      </c>
    </row>
    <row r="94" spans="1:27" x14ac:dyDescent="0.35">
      <c r="A94" t="s">
        <v>166</v>
      </c>
      <c r="B94">
        <v>439096</v>
      </c>
      <c r="C94" s="1" t="s">
        <v>28</v>
      </c>
      <c r="D94" s="11">
        <v>77076.72</v>
      </c>
      <c r="E94" s="1" t="s">
        <v>35</v>
      </c>
      <c r="F94">
        <v>40147</v>
      </c>
      <c r="G94" s="2">
        <v>45991</v>
      </c>
      <c r="H94" s="1" t="s">
        <v>28</v>
      </c>
      <c r="I94" s="1" t="s">
        <v>28</v>
      </c>
      <c r="J94">
        <v>8</v>
      </c>
      <c r="K94" s="1" t="s">
        <v>36</v>
      </c>
      <c r="L94" s="1" t="s">
        <v>28</v>
      </c>
      <c r="O94" s="1" t="s">
        <v>28</v>
      </c>
      <c r="P94" s="1" t="s">
        <v>47</v>
      </c>
      <c r="Q94" s="1" t="s">
        <v>31</v>
      </c>
      <c r="R94" s="1" t="s">
        <v>38</v>
      </c>
      <c r="S94" s="1" t="s">
        <v>49</v>
      </c>
      <c r="T94" s="1" t="s">
        <v>40</v>
      </c>
      <c r="U94" s="1" t="s">
        <v>32</v>
      </c>
      <c r="V94">
        <v>1944733</v>
      </c>
      <c r="W94" s="1" t="s">
        <v>33</v>
      </c>
      <c r="X94" s="1" t="s">
        <v>28</v>
      </c>
      <c r="Y94" s="1" t="s">
        <v>28</v>
      </c>
      <c r="Z94" s="1" t="s">
        <v>28</v>
      </c>
      <c r="AA94" s="1" t="s">
        <v>28</v>
      </c>
    </row>
    <row r="95" spans="1:27" x14ac:dyDescent="0.35">
      <c r="A95" t="s">
        <v>166</v>
      </c>
      <c r="B95">
        <v>439097</v>
      </c>
      <c r="C95" s="1" t="s">
        <v>28</v>
      </c>
      <c r="D95" s="11">
        <v>101114.04</v>
      </c>
      <c r="E95" s="1" t="s">
        <v>35</v>
      </c>
      <c r="F95">
        <v>40148</v>
      </c>
      <c r="G95" s="2">
        <v>45991</v>
      </c>
      <c r="H95" s="1" t="s">
        <v>28</v>
      </c>
      <c r="I95" s="1" t="s">
        <v>28</v>
      </c>
      <c r="J95">
        <v>7</v>
      </c>
      <c r="K95" s="1" t="s">
        <v>36</v>
      </c>
      <c r="L95" s="1" t="s">
        <v>28</v>
      </c>
      <c r="O95" s="1" t="s">
        <v>28</v>
      </c>
      <c r="P95" s="1" t="s">
        <v>44</v>
      </c>
      <c r="Q95" s="1" t="s">
        <v>31</v>
      </c>
      <c r="R95" s="1" t="s">
        <v>38</v>
      </c>
      <c r="S95" s="1" t="s">
        <v>45</v>
      </c>
      <c r="T95" s="1" t="s">
        <v>40</v>
      </c>
      <c r="U95" s="1" t="s">
        <v>32</v>
      </c>
      <c r="V95">
        <v>1944733</v>
      </c>
      <c r="W95" s="1" t="s">
        <v>33</v>
      </c>
      <c r="X95" s="1" t="s">
        <v>28</v>
      </c>
      <c r="Y95" s="1" t="s">
        <v>28</v>
      </c>
      <c r="Z95" s="1" t="s">
        <v>28</v>
      </c>
      <c r="AA95" s="1" t="s">
        <v>28</v>
      </c>
    </row>
    <row r="96" spans="1:27" x14ac:dyDescent="0.35">
      <c r="A96" t="s">
        <v>165</v>
      </c>
      <c r="B96">
        <v>456149</v>
      </c>
      <c r="C96" s="1" t="s">
        <v>28</v>
      </c>
      <c r="D96" s="11">
        <v>309453.13</v>
      </c>
      <c r="E96" s="1" t="s">
        <v>35</v>
      </c>
      <c r="F96">
        <v>40148</v>
      </c>
      <c r="G96" s="2">
        <v>45991</v>
      </c>
      <c r="H96" s="1" t="s">
        <v>28</v>
      </c>
      <c r="I96" s="1" t="s">
        <v>28</v>
      </c>
      <c r="J96">
        <v>8</v>
      </c>
      <c r="K96" s="1" t="s">
        <v>36</v>
      </c>
      <c r="L96" s="1" t="s">
        <v>28</v>
      </c>
      <c r="O96" s="1" t="s">
        <v>28</v>
      </c>
      <c r="P96" s="1" t="s">
        <v>50</v>
      </c>
      <c r="Q96" s="1" t="s">
        <v>31</v>
      </c>
      <c r="R96" s="1" t="s">
        <v>38</v>
      </c>
      <c r="S96" s="1" t="s">
        <v>45</v>
      </c>
      <c r="T96" s="1" t="s">
        <v>40</v>
      </c>
      <c r="U96" s="1" t="s">
        <v>32</v>
      </c>
      <c r="V96">
        <v>1944733</v>
      </c>
      <c r="W96" s="1" t="s">
        <v>33</v>
      </c>
      <c r="X96" s="1" t="s">
        <v>28</v>
      </c>
      <c r="Y96" s="1" t="s">
        <v>28</v>
      </c>
      <c r="Z96" s="1" t="s">
        <v>28</v>
      </c>
      <c r="AA96" s="1" t="s">
        <v>28</v>
      </c>
    </row>
    <row r="97" spans="1:27" x14ac:dyDescent="0.35">
      <c r="A97" t="s">
        <v>167</v>
      </c>
      <c r="B97">
        <v>438068</v>
      </c>
      <c r="C97" s="1" t="s">
        <v>28</v>
      </c>
      <c r="D97" s="11">
        <v>63223.519999999997</v>
      </c>
      <c r="E97" s="1" t="s">
        <v>35</v>
      </c>
      <c r="F97">
        <v>40148</v>
      </c>
      <c r="G97" s="2">
        <v>45991</v>
      </c>
      <c r="H97" s="1" t="s">
        <v>28</v>
      </c>
      <c r="I97" s="1" t="s">
        <v>28</v>
      </c>
      <c r="J97">
        <v>9</v>
      </c>
      <c r="K97" s="1" t="s">
        <v>36</v>
      </c>
      <c r="L97" s="1" t="s">
        <v>28</v>
      </c>
      <c r="O97" s="1" t="s">
        <v>28</v>
      </c>
      <c r="P97" s="1" t="s">
        <v>46</v>
      </c>
      <c r="Q97" s="1" t="s">
        <v>31</v>
      </c>
      <c r="R97" s="1" t="s">
        <v>38</v>
      </c>
      <c r="S97" s="1" t="s">
        <v>45</v>
      </c>
      <c r="T97" s="1" t="s">
        <v>40</v>
      </c>
      <c r="U97" s="1" t="s">
        <v>32</v>
      </c>
      <c r="V97">
        <v>1944733</v>
      </c>
      <c r="W97" s="1" t="s">
        <v>33</v>
      </c>
      <c r="X97" s="1" t="s">
        <v>28</v>
      </c>
      <c r="Y97" s="1" t="s">
        <v>28</v>
      </c>
      <c r="Z97" s="1" t="s">
        <v>28</v>
      </c>
      <c r="AA97" s="1" t="s">
        <v>28</v>
      </c>
    </row>
    <row r="98" spans="1:27" x14ac:dyDescent="0.35">
      <c r="A98" t="s">
        <v>166</v>
      </c>
      <c r="B98">
        <v>327543</v>
      </c>
      <c r="C98" s="1" t="s">
        <v>28</v>
      </c>
      <c r="D98" s="11">
        <v>673778.01</v>
      </c>
      <c r="E98" s="1" t="s">
        <v>35</v>
      </c>
      <c r="F98">
        <v>40148</v>
      </c>
      <c r="G98" s="2">
        <v>45991</v>
      </c>
      <c r="H98" s="1" t="s">
        <v>28</v>
      </c>
      <c r="I98" s="1" t="s">
        <v>28</v>
      </c>
      <c r="J98">
        <v>10</v>
      </c>
      <c r="K98" s="1" t="s">
        <v>36</v>
      </c>
      <c r="L98" s="1" t="s">
        <v>28</v>
      </c>
      <c r="O98" s="1" t="s">
        <v>28</v>
      </c>
      <c r="P98" s="1" t="s">
        <v>37</v>
      </c>
      <c r="Q98" s="1" t="s">
        <v>31</v>
      </c>
      <c r="R98" s="1" t="s">
        <v>38</v>
      </c>
      <c r="S98" s="1" t="s">
        <v>45</v>
      </c>
      <c r="T98" s="1" t="s">
        <v>40</v>
      </c>
      <c r="U98" s="1" t="s">
        <v>32</v>
      </c>
      <c r="V98">
        <v>1944733</v>
      </c>
      <c r="W98" s="1" t="s">
        <v>33</v>
      </c>
      <c r="X98" s="1" t="s">
        <v>28</v>
      </c>
      <c r="Y98" s="1" t="s">
        <v>28</v>
      </c>
      <c r="Z98" s="1" t="s">
        <v>28</v>
      </c>
      <c r="AA98" s="1" t="s">
        <v>28</v>
      </c>
    </row>
    <row r="99" spans="1:27" x14ac:dyDescent="0.35">
      <c r="A99" t="s">
        <v>166</v>
      </c>
      <c r="B99">
        <v>439096</v>
      </c>
      <c r="C99" s="1" t="s">
        <v>28</v>
      </c>
      <c r="D99" s="11">
        <v>19516.68</v>
      </c>
      <c r="E99" s="1" t="s">
        <v>35</v>
      </c>
      <c r="F99">
        <v>40148</v>
      </c>
      <c r="G99" s="2">
        <v>45991</v>
      </c>
      <c r="H99" s="1" t="s">
        <v>28</v>
      </c>
      <c r="I99" s="1" t="s">
        <v>28</v>
      </c>
      <c r="J99">
        <v>11</v>
      </c>
      <c r="K99" s="1" t="s">
        <v>36</v>
      </c>
      <c r="L99" s="1" t="s">
        <v>28</v>
      </c>
      <c r="O99" s="1" t="s">
        <v>28</v>
      </c>
      <c r="P99" s="1" t="s">
        <v>47</v>
      </c>
      <c r="Q99" s="1" t="s">
        <v>31</v>
      </c>
      <c r="R99" s="1" t="s">
        <v>38</v>
      </c>
      <c r="S99" s="1" t="s">
        <v>45</v>
      </c>
      <c r="T99" s="1" t="s">
        <v>40</v>
      </c>
      <c r="U99" s="1" t="s">
        <v>32</v>
      </c>
      <c r="V99">
        <v>1944733</v>
      </c>
      <c r="W99" s="1" t="s">
        <v>33</v>
      </c>
      <c r="X99" s="1" t="s">
        <v>28</v>
      </c>
      <c r="Y99" s="1" t="s">
        <v>28</v>
      </c>
      <c r="Z99" s="1" t="s">
        <v>28</v>
      </c>
      <c r="AA99" s="1" t="s">
        <v>28</v>
      </c>
    </row>
    <row r="100" spans="1:27" x14ac:dyDescent="0.35">
      <c r="A100" t="s">
        <v>165</v>
      </c>
      <c r="B100">
        <v>457691</v>
      </c>
      <c r="C100" s="1" t="s">
        <v>28</v>
      </c>
      <c r="D100" s="11">
        <v>40074.14</v>
      </c>
      <c r="E100" s="1" t="s">
        <v>35</v>
      </c>
      <c r="F100">
        <v>40148</v>
      </c>
      <c r="G100" s="2">
        <v>45991</v>
      </c>
      <c r="H100" s="1" t="s">
        <v>28</v>
      </c>
      <c r="I100" s="1" t="s">
        <v>28</v>
      </c>
      <c r="J100">
        <v>12</v>
      </c>
      <c r="K100" s="1" t="s">
        <v>36</v>
      </c>
      <c r="L100" s="1" t="s">
        <v>28</v>
      </c>
      <c r="O100" s="1" t="s">
        <v>28</v>
      </c>
      <c r="P100" s="1" t="s">
        <v>51</v>
      </c>
      <c r="Q100" s="1" t="s">
        <v>31</v>
      </c>
      <c r="R100" s="1" t="s">
        <v>38</v>
      </c>
      <c r="S100" s="1" t="s">
        <v>45</v>
      </c>
      <c r="T100" s="1" t="s">
        <v>40</v>
      </c>
      <c r="U100" s="1" t="s">
        <v>32</v>
      </c>
      <c r="V100">
        <v>1944733</v>
      </c>
      <c r="W100" s="1" t="s">
        <v>33</v>
      </c>
      <c r="X100" s="1" t="s">
        <v>28</v>
      </c>
      <c r="Y100" s="1" t="s">
        <v>28</v>
      </c>
      <c r="Z100" s="1" t="s">
        <v>28</v>
      </c>
      <c r="AA100" s="1" t="s">
        <v>28</v>
      </c>
    </row>
    <row r="101" spans="1:27" x14ac:dyDescent="0.35">
      <c r="A101" t="s">
        <v>166</v>
      </c>
      <c r="B101">
        <v>439097</v>
      </c>
      <c r="C101" s="1" t="s">
        <v>28</v>
      </c>
      <c r="D101" s="11">
        <v>169011.88</v>
      </c>
      <c r="E101" s="1" t="s">
        <v>35</v>
      </c>
      <c r="F101">
        <v>40149</v>
      </c>
      <c r="G101" s="2">
        <v>45991</v>
      </c>
      <c r="H101" s="1" t="s">
        <v>28</v>
      </c>
      <c r="I101" s="1" t="s">
        <v>28</v>
      </c>
      <c r="J101">
        <v>7</v>
      </c>
      <c r="K101" s="1" t="s">
        <v>36</v>
      </c>
      <c r="L101" s="1" t="s">
        <v>28</v>
      </c>
      <c r="O101" s="1" t="s">
        <v>28</v>
      </c>
      <c r="P101" s="1" t="s">
        <v>44</v>
      </c>
      <c r="Q101" s="1" t="s">
        <v>31</v>
      </c>
      <c r="R101" s="1" t="s">
        <v>38</v>
      </c>
      <c r="S101" s="1" t="s">
        <v>45</v>
      </c>
      <c r="T101" s="1" t="s">
        <v>40</v>
      </c>
      <c r="U101" s="1" t="s">
        <v>32</v>
      </c>
      <c r="V101">
        <v>1944733</v>
      </c>
      <c r="W101" s="1" t="s">
        <v>33</v>
      </c>
      <c r="X101" s="1" t="s">
        <v>28</v>
      </c>
      <c r="Y101" s="1" t="s">
        <v>28</v>
      </c>
      <c r="Z101" s="1" t="s">
        <v>28</v>
      </c>
      <c r="AA101" s="1" t="s">
        <v>28</v>
      </c>
    </row>
    <row r="102" spans="1:27" x14ac:dyDescent="0.35">
      <c r="A102" t="s">
        <v>165</v>
      </c>
      <c r="B102">
        <v>456149</v>
      </c>
      <c r="C102" s="1" t="s">
        <v>28</v>
      </c>
      <c r="D102" s="11">
        <v>517250.17</v>
      </c>
      <c r="E102" s="1" t="s">
        <v>35</v>
      </c>
      <c r="F102">
        <v>40149</v>
      </c>
      <c r="G102" s="2">
        <v>45991</v>
      </c>
      <c r="H102" s="1" t="s">
        <v>28</v>
      </c>
      <c r="I102" s="1" t="s">
        <v>28</v>
      </c>
      <c r="J102">
        <v>8</v>
      </c>
      <c r="K102" s="1" t="s">
        <v>36</v>
      </c>
      <c r="L102" s="1" t="s">
        <v>28</v>
      </c>
      <c r="O102" s="1" t="s">
        <v>28</v>
      </c>
      <c r="P102" s="1" t="s">
        <v>50</v>
      </c>
      <c r="Q102" s="1" t="s">
        <v>31</v>
      </c>
      <c r="R102" s="1" t="s">
        <v>38</v>
      </c>
      <c r="S102" s="1" t="s">
        <v>45</v>
      </c>
      <c r="T102" s="1" t="s">
        <v>40</v>
      </c>
      <c r="U102" s="1" t="s">
        <v>32</v>
      </c>
      <c r="V102">
        <v>1944733</v>
      </c>
      <c r="W102" s="1" t="s">
        <v>33</v>
      </c>
      <c r="X102" s="1" t="s">
        <v>28</v>
      </c>
      <c r="Y102" s="1" t="s">
        <v>28</v>
      </c>
      <c r="Z102" s="1" t="s">
        <v>28</v>
      </c>
      <c r="AA102" s="1" t="s">
        <v>28</v>
      </c>
    </row>
    <row r="103" spans="1:27" x14ac:dyDescent="0.35">
      <c r="A103" t="s">
        <v>167</v>
      </c>
      <c r="B103">
        <v>438068</v>
      </c>
      <c r="C103" s="1" t="s">
        <v>28</v>
      </c>
      <c r="D103" s="11">
        <v>105677.96</v>
      </c>
      <c r="E103" s="1" t="s">
        <v>35</v>
      </c>
      <c r="F103">
        <v>40149</v>
      </c>
      <c r="G103" s="2">
        <v>45991</v>
      </c>
      <c r="H103" s="1" t="s">
        <v>28</v>
      </c>
      <c r="I103" s="1" t="s">
        <v>28</v>
      </c>
      <c r="J103">
        <v>9</v>
      </c>
      <c r="K103" s="1" t="s">
        <v>36</v>
      </c>
      <c r="L103" s="1" t="s">
        <v>28</v>
      </c>
      <c r="O103" s="1" t="s">
        <v>28</v>
      </c>
      <c r="P103" s="1" t="s">
        <v>46</v>
      </c>
      <c r="Q103" s="1" t="s">
        <v>31</v>
      </c>
      <c r="R103" s="1" t="s">
        <v>38</v>
      </c>
      <c r="S103" s="1" t="s">
        <v>45</v>
      </c>
      <c r="T103" s="1" t="s">
        <v>40</v>
      </c>
      <c r="U103" s="1" t="s">
        <v>32</v>
      </c>
      <c r="V103">
        <v>1944733</v>
      </c>
      <c r="W103" s="1" t="s">
        <v>33</v>
      </c>
      <c r="X103" s="1" t="s">
        <v>28</v>
      </c>
      <c r="Y103" s="1" t="s">
        <v>28</v>
      </c>
      <c r="Z103" s="1" t="s">
        <v>28</v>
      </c>
      <c r="AA103" s="1" t="s">
        <v>28</v>
      </c>
    </row>
    <row r="104" spans="1:27" x14ac:dyDescent="0.35">
      <c r="A104" t="s">
        <v>166</v>
      </c>
      <c r="B104">
        <v>327543</v>
      </c>
      <c r="C104" s="1" t="s">
        <v>28</v>
      </c>
      <c r="D104" s="11">
        <v>1125397.25</v>
      </c>
      <c r="E104" s="1" t="s">
        <v>35</v>
      </c>
      <c r="F104">
        <v>40149</v>
      </c>
      <c r="G104" s="2">
        <v>45991</v>
      </c>
      <c r="H104" s="1" t="s">
        <v>28</v>
      </c>
      <c r="I104" s="1" t="s">
        <v>28</v>
      </c>
      <c r="J104">
        <v>10</v>
      </c>
      <c r="K104" s="1" t="s">
        <v>36</v>
      </c>
      <c r="L104" s="1" t="s">
        <v>28</v>
      </c>
      <c r="O104" s="1" t="s">
        <v>28</v>
      </c>
      <c r="P104" s="1" t="s">
        <v>37</v>
      </c>
      <c r="Q104" s="1" t="s">
        <v>31</v>
      </c>
      <c r="R104" s="1" t="s">
        <v>38</v>
      </c>
      <c r="S104" s="1" t="s">
        <v>45</v>
      </c>
      <c r="T104" s="1" t="s">
        <v>40</v>
      </c>
      <c r="U104" s="1" t="s">
        <v>32</v>
      </c>
      <c r="V104">
        <v>1944733</v>
      </c>
      <c r="W104" s="1" t="s">
        <v>33</v>
      </c>
      <c r="X104" s="1" t="s">
        <v>28</v>
      </c>
      <c r="Y104" s="1" t="s">
        <v>28</v>
      </c>
      <c r="Z104" s="1" t="s">
        <v>28</v>
      </c>
      <c r="AA104" s="1" t="s">
        <v>28</v>
      </c>
    </row>
    <row r="105" spans="1:27" x14ac:dyDescent="0.35">
      <c r="A105" t="s">
        <v>166</v>
      </c>
      <c r="B105">
        <v>439096</v>
      </c>
      <c r="C105" s="1" t="s">
        <v>28</v>
      </c>
      <c r="D105" s="11">
        <v>32622.09</v>
      </c>
      <c r="E105" s="1" t="s">
        <v>35</v>
      </c>
      <c r="F105">
        <v>40149</v>
      </c>
      <c r="G105" s="2">
        <v>45991</v>
      </c>
      <c r="H105" s="1" t="s">
        <v>28</v>
      </c>
      <c r="I105" s="1" t="s">
        <v>28</v>
      </c>
      <c r="J105">
        <v>11</v>
      </c>
      <c r="K105" s="1" t="s">
        <v>36</v>
      </c>
      <c r="L105" s="1" t="s">
        <v>28</v>
      </c>
      <c r="O105" s="1" t="s">
        <v>28</v>
      </c>
      <c r="P105" s="1" t="s">
        <v>47</v>
      </c>
      <c r="Q105" s="1" t="s">
        <v>31</v>
      </c>
      <c r="R105" s="1" t="s">
        <v>38</v>
      </c>
      <c r="S105" s="1" t="s">
        <v>45</v>
      </c>
      <c r="T105" s="1" t="s">
        <v>40</v>
      </c>
      <c r="U105" s="1" t="s">
        <v>32</v>
      </c>
      <c r="V105">
        <v>1944733</v>
      </c>
      <c r="W105" s="1" t="s">
        <v>33</v>
      </c>
      <c r="X105" s="1" t="s">
        <v>28</v>
      </c>
      <c r="Y105" s="1" t="s">
        <v>28</v>
      </c>
      <c r="Z105" s="1" t="s">
        <v>28</v>
      </c>
      <c r="AA105" s="1" t="s">
        <v>28</v>
      </c>
    </row>
    <row r="106" spans="1:27" x14ac:dyDescent="0.35">
      <c r="A106" t="s">
        <v>165</v>
      </c>
      <c r="B106">
        <v>457691</v>
      </c>
      <c r="C106" s="1" t="s">
        <v>28</v>
      </c>
      <c r="D106" s="11">
        <v>66983.83</v>
      </c>
      <c r="E106" s="1" t="s">
        <v>35</v>
      </c>
      <c r="F106">
        <v>40149</v>
      </c>
      <c r="G106" s="2">
        <v>45991</v>
      </c>
      <c r="H106" s="1" t="s">
        <v>28</v>
      </c>
      <c r="I106" s="1" t="s">
        <v>28</v>
      </c>
      <c r="J106">
        <v>12</v>
      </c>
      <c r="K106" s="1" t="s">
        <v>36</v>
      </c>
      <c r="L106" s="1" t="s">
        <v>28</v>
      </c>
      <c r="O106" s="1" t="s">
        <v>28</v>
      </c>
      <c r="P106" s="1" t="s">
        <v>51</v>
      </c>
      <c r="Q106" s="1" t="s">
        <v>31</v>
      </c>
      <c r="R106" s="1" t="s">
        <v>38</v>
      </c>
      <c r="S106" s="1" t="s">
        <v>45</v>
      </c>
      <c r="T106" s="1" t="s">
        <v>40</v>
      </c>
      <c r="U106" s="1" t="s">
        <v>32</v>
      </c>
      <c r="V106">
        <v>1944733</v>
      </c>
      <c r="W106" s="1" t="s">
        <v>33</v>
      </c>
      <c r="X106" s="1" t="s">
        <v>28</v>
      </c>
      <c r="Y106" s="1" t="s">
        <v>28</v>
      </c>
      <c r="Z106" s="1" t="s">
        <v>28</v>
      </c>
      <c r="AA106" s="1" t="s">
        <v>28</v>
      </c>
    </row>
    <row r="107" spans="1:27" x14ac:dyDescent="0.35">
      <c r="A107" t="s">
        <v>166</v>
      </c>
      <c r="B107">
        <v>439097</v>
      </c>
      <c r="C107" s="1" t="s">
        <v>28</v>
      </c>
      <c r="D107" s="11">
        <v>46089.39</v>
      </c>
      <c r="E107" s="1" t="s">
        <v>35</v>
      </c>
      <c r="F107">
        <v>40150</v>
      </c>
      <c r="G107" s="2">
        <v>45991</v>
      </c>
      <c r="H107" s="1" t="s">
        <v>28</v>
      </c>
      <c r="I107" s="1" t="s">
        <v>28</v>
      </c>
      <c r="J107">
        <v>8</v>
      </c>
      <c r="K107" s="1" t="s">
        <v>36</v>
      </c>
      <c r="L107" s="1" t="s">
        <v>28</v>
      </c>
      <c r="O107" s="1" t="s">
        <v>28</v>
      </c>
      <c r="P107" s="1" t="s">
        <v>44</v>
      </c>
      <c r="Q107" s="1" t="s">
        <v>31</v>
      </c>
      <c r="R107" s="1" t="s">
        <v>38</v>
      </c>
      <c r="S107" s="1" t="s">
        <v>48</v>
      </c>
      <c r="T107" s="1" t="s">
        <v>40</v>
      </c>
      <c r="U107" s="1" t="s">
        <v>32</v>
      </c>
      <c r="V107">
        <v>1944733</v>
      </c>
      <c r="W107" s="1" t="s">
        <v>33</v>
      </c>
      <c r="X107" s="1" t="s">
        <v>28</v>
      </c>
      <c r="Y107" s="1" t="s">
        <v>28</v>
      </c>
      <c r="Z107" s="1" t="s">
        <v>28</v>
      </c>
      <c r="AA107" s="1" t="s">
        <v>28</v>
      </c>
    </row>
    <row r="108" spans="1:27" x14ac:dyDescent="0.35">
      <c r="A108" t="s">
        <v>167</v>
      </c>
      <c r="B108">
        <v>459382</v>
      </c>
      <c r="C108" s="1" t="s">
        <v>28</v>
      </c>
      <c r="D108" s="11">
        <v>87261.51</v>
      </c>
      <c r="E108" s="1" t="s">
        <v>35</v>
      </c>
      <c r="F108">
        <v>40150</v>
      </c>
      <c r="G108" s="2">
        <v>45991</v>
      </c>
      <c r="H108" s="1" t="s">
        <v>28</v>
      </c>
      <c r="I108" s="1" t="s">
        <v>28</v>
      </c>
      <c r="J108">
        <v>9</v>
      </c>
      <c r="K108" s="1" t="s">
        <v>36</v>
      </c>
      <c r="L108" s="1" t="s">
        <v>28</v>
      </c>
      <c r="O108" s="1" t="s">
        <v>28</v>
      </c>
      <c r="P108" s="1" t="s">
        <v>52</v>
      </c>
      <c r="Q108" s="1" t="s">
        <v>31</v>
      </c>
      <c r="R108" s="1" t="s">
        <v>38</v>
      </c>
      <c r="S108" s="1" t="s">
        <v>48</v>
      </c>
      <c r="T108" s="1" t="s">
        <v>40</v>
      </c>
      <c r="U108" s="1" t="s">
        <v>32</v>
      </c>
      <c r="V108">
        <v>1944733</v>
      </c>
      <c r="W108" s="1" t="s">
        <v>33</v>
      </c>
      <c r="X108" s="1" t="s">
        <v>28</v>
      </c>
      <c r="Y108" s="1" t="s">
        <v>28</v>
      </c>
      <c r="Z108" s="1" t="s">
        <v>28</v>
      </c>
      <c r="AA108" s="1" t="s">
        <v>28</v>
      </c>
    </row>
    <row r="109" spans="1:27" x14ac:dyDescent="0.35">
      <c r="A109" t="s">
        <v>165</v>
      </c>
      <c r="B109">
        <v>456149</v>
      </c>
      <c r="C109" s="1" t="s">
        <v>28</v>
      </c>
      <c r="D109" s="11">
        <v>141053.65</v>
      </c>
      <c r="E109" s="1" t="s">
        <v>35</v>
      </c>
      <c r="F109">
        <v>40150</v>
      </c>
      <c r="G109" s="2">
        <v>45991</v>
      </c>
      <c r="H109" s="1" t="s">
        <v>28</v>
      </c>
      <c r="I109" s="1" t="s">
        <v>28</v>
      </c>
      <c r="J109">
        <v>10</v>
      </c>
      <c r="K109" s="1" t="s">
        <v>36</v>
      </c>
      <c r="L109" s="1" t="s">
        <v>28</v>
      </c>
      <c r="O109" s="1" t="s">
        <v>28</v>
      </c>
      <c r="P109" s="1" t="s">
        <v>50</v>
      </c>
      <c r="Q109" s="1" t="s">
        <v>31</v>
      </c>
      <c r="R109" s="1" t="s">
        <v>38</v>
      </c>
      <c r="S109" s="1" t="s">
        <v>48</v>
      </c>
      <c r="T109" s="1" t="s">
        <v>40</v>
      </c>
      <c r="U109" s="1" t="s">
        <v>32</v>
      </c>
      <c r="V109">
        <v>1944733</v>
      </c>
      <c r="W109" s="1" t="s">
        <v>33</v>
      </c>
      <c r="X109" s="1" t="s">
        <v>28</v>
      </c>
      <c r="Y109" s="1" t="s">
        <v>28</v>
      </c>
      <c r="Z109" s="1" t="s">
        <v>28</v>
      </c>
      <c r="AA109" s="1" t="s">
        <v>28</v>
      </c>
    </row>
    <row r="110" spans="1:27" x14ac:dyDescent="0.35">
      <c r="A110" t="s">
        <v>167</v>
      </c>
      <c r="B110">
        <v>438068</v>
      </c>
      <c r="C110" s="1" t="s">
        <v>28</v>
      </c>
      <c r="D110" s="11">
        <v>28818.28</v>
      </c>
      <c r="E110" s="1" t="s">
        <v>35</v>
      </c>
      <c r="F110">
        <v>40150</v>
      </c>
      <c r="G110" s="2">
        <v>45991</v>
      </c>
      <c r="H110" s="1" t="s">
        <v>28</v>
      </c>
      <c r="I110" s="1" t="s">
        <v>28</v>
      </c>
      <c r="J110">
        <v>11</v>
      </c>
      <c r="K110" s="1" t="s">
        <v>36</v>
      </c>
      <c r="L110" s="1" t="s">
        <v>28</v>
      </c>
      <c r="O110" s="1" t="s">
        <v>28</v>
      </c>
      <c r="P110" s="1" t="s">
        <v>46</v>
      </c>
      <c r="Q110" s="1" t="s">
        <v>31</v>
      </c>
      <c r="R110" s="1" t="s">
        <v>38</v>
      </c>
      <c r="S110" s="1" t="s">
        <v>48</v>
      </c>
      <c r="T110" s="1" t="s">
        <v>40</v>
      </c>
      <c r="U110" s="1" t="s">
        <v>32</v>
      </c>
      <c r="V110">
        <v>1944733</v>
      </c>
      <c r="W110" s="1" t="s">
        <v>33</v>
      </c>
      <c r="X110" s="1" t="s">
        <v>28</v>
      </c>
      <c r="Y110" s="1" t="s">
        <v>28</v>
      </c>
      <c r="Z110" s="1" t="s">
        <v>28</v>
      </c>
      <c r="AA110" s="1" t="s">
        <v>28</v>
      </c>
    </row>
    <row r="111" spans="1:27" x14ac:dyDescent="0.35">
      <c r="A111" t="s">
        <v>166</v>
      </c>
      <c r="B111">
        <v>327543</v>
      </c>
      <c r="C111" s="1" t="s">
        <v>28</v>
      </c>
      <c r="D111" s="11">
        <v>272343.86</v>
      </c>
      <c r="E111" s="1" t="s">
        <v>35</v>
      </c>
      <c r="F111">
        <v>40150</v>
      </c>
      <c r="G111" s="2">
        <v>45991</v>
      </c>
      <c r="H111" s="1" t="s">
        <v>28</v>
      </c>
      <c r="I111" s="1" t="s">
        <v>28</v>
      </c>
      <c r="J111">
        <v>12</v>
      </c>
      <c r="K111" s="1" t="s">
        <v>36</v>
      </c>
      <c r="L111" s="1" t="s">
        <v>28</v>
      </c>
      <c r="O111" s="1" t="s">
        <v>28</v>
      </c>
      <c r="P111" s="1" t="s">
        <v>37</v>
      </c>
      <c r="Q111" s="1" t="s">
        <v>31</v>
      </c>
      <c r="R111" s="1" t="s">
        <v>38</v>
      </c>
      <c r="S111" s="1" t="s">
        <v>48</v>
      </c>
      <c r="T111" s="1" t="s">
        <v>40</v>
      </c>
      <c r="U111" s="1" t="s">
        <v>32</v>
      </c>
      <c r="V111">
        <v>1944733</v>
      </c>
      <c r="W111" s="1" t="s">
        <v>33</v>
      </c>
      <c r="X111" s="1" t="s">
        <v>28</v>
      </c>
      <c r="Y111" s="1" t="s">
        <v>28</v>
      </c>
      <c r="Z111" s="1" t="s">
        <v>28</v>
      </c>
      <c r="AA111" s="1" t="s">
        <v>28</v>
      </c>
    </row>
    <row r="112" spans="1:27" x14ac:dyDescent="0.35">
      <c r="A112" t="s">
        <v>166</v>
      </c>
      <c r="B112">
        <v>439096</v>
      </c>
      <c r="C112" s="1" t="s">
        <v>28</v>
      </c>
      <c r="D112" s="11">
        <v>8896.01</v>
      </c>
      <c r="E112" s="1" t="s">
        <v>35</v>
      </c>
      <c r="F112">
        <v>40150</v>
      </c>
      <c r="G112" s="2">
        <v>45991</v>
      </c>
      <c r="H112" s="1" t="s">
        <v>28</v>
      </c>
      <c r="I112" s="1" t="s">
        <v>28</v>
      </c>
      <c r="J112">
        <v>13</v>
      </c>
      <c r="K112" s="1" t="s">
        <v>36</v>
      </c>
      <c r="L112" s="1" t="s">
        <v>28</v>
      </c>
      <c r="O112" s="1" t="s">
        <v>28</v>
      </c>
      <c r="P112" s="1" t="s">
        <v>47</v>
      </c>
      <c r="Q112" s="1" t="s">
        <v>31</v>
      </c>
      <c r="R112" s="1" t="s">
        <v>38</v>
      </c>
      <c r="S112" s="1" t="s">
        <v>48</v>
      </c>
      <c r="T112" s="1" t="s">
        <v>40</v>
      </c>
      <c r="U112" s="1" t="s">
        <v>32</v>
      </c>
      <c r="V112">
        <v>1944733</v>
      </c>
      <c r="W112" s="1" t="s">
        <v>33</v>
      </c>
      <c r="X112" s="1" t="s">
        <v>28</v>
      </c>
      <c r="Y112" s="1" t="s">
        <v>28</v>
      </c>
      <c r="Z112" s="1" t="s">
        <v>28</v>
      </c>
      <c r="AA112" s="1" t="s">
        <v>28</v>
      </c>
    </row>
    <row r="113" spans="1:27" x14ac:dyDescent="0.35">
      <c r="A113" t="s">
        <v>165</v>
      </c>
      <c r="B113">
        <v>457691</v>
      </c>
      <c r="C113" s="1" t="s">
        <v>28</v>
      </c>
      <c r="D113" s="11">
        <v>18266.43</v>
      </c>
      <c r="E113" s="1" t="s">
        <v>35</v>
      </c>
      <c r="F113">
        <v>40150</v>
      </c>
      <c r="G113" s="2">
        <v>45991</v>
      </c>
      <c r="H113" s="1" t="s">
        <v>28</v>
      </c>
      <c r="I113" s="1" t="s">
        <v>28</v>
      </c>
      <c r="J113">
        <v>14</v>
      </c>
      <c r="K113" s="1" t="s">
        <v>36</v>
      </c>
      <c r="L113" s="1" t="s">
        <v>28</v>
      </c>
      <c r="O113" s="1" t="s">
        <v>28</v>
      </c>
      <c r="P113" s="1" t="s">
        <v>51</v>
      </c>
      <c r="Q113" s="1" t="s">
        <v>31</v>
      </c>
      <c r="R113" s="1" t="s">
        <v>38</v>
      </c>
      <c r="S113" s="1" t="s">
        <v>48</v>
      </c>
      <c r="T113" s="1" t="s">
        <v>40</v>
      </c>
      <c r="U113" s="1" t="s">
        <v>32</v>
      </c>
      <c r="V113">
        <v>1944733</v>
      </c>
      <c r="W113" s="1" t="s">
        <v>33</v>
      </c>
      <c r="X113" s="1" t="s">
        <v>28</v>
      </c>
      <c r="Y113" s="1" t="s">
        <v>28</v>
      </c>
      <c r="Z113" s="1" t="s">
        <v>28</v>
      </c>
      <c r="AA113" s="1" t="s">
        <v>28</v>
      </c>
    </row>
    <row r="114" spans="1:27" x14ac:dyDescent="0.35">
      <c r="A114" t="s">
        <v>166</v>
      </c>
      <c r="B114">
        <v>439097</v>
      </c>
      <c r="C114" s="1" t="s">
        <v>28</v>
      </c>
      <c r="D114" s="11">
        <v>45660.85</v>
      </c>
      <c r="E114" s="1" t="s">
        <v>35</v>
      </c>
      <c r="F114">
        <v>40151</v>
      </c>
      <c r="G114" s="2">
        <v>45991</v>
      </c>
      <c r="H114" s="1" t="s">
        <v>28</v>
      </c>
      <c r="I114" s="1" t="s">
        <v>28</v>
      </c>
      <c r="J114">
        <v>8</v>
      </c>
      <c r="K114" s="1" t="s">
        <v>36</v>
      </c>
      <c r="L114" s="1" t="s">
        <v>28</v>
      </c>
      <c r="O114" s="1" t="s">
        <v>28</v>
      </c>
      <c r="P114" s="1" t="s">
        <v>44</v>
      </c>
      <c r="Q114" s="1" t="s">
        <v>31</v>
      </c>
      <c r="R114" s="1" t="s">
        <v>38</v>
      </c>
      <c r="S114" s="1" t="s">
        <v>45</v>
      </c>
      <c r="T114" s="1" t="s">
        <v>40</v>
      </c>
      <c r="U114" s="1" t="s">
        <v>32</v>
      </c>
      <c r="V114">
        <v>1944733</v>
      </c>
      <c r="W114" s="1" t="s">
        <v>33</v>
      </c>
      <c r="X114" s="1" t="s">
        <v>28</v>
      </c>
      <c r="Y114" s="1" t="s">
        <v>28</v>
      </c>
      <c r="Z114" s="1" t="s">
        <v>28</v>
      </c>
      <c r="AA114" s="1" t="s">
        <v>28</v>
      </c>
    </row>
    <row r="115" spans="1:27" x14ac:dyDescent="0.35">
      <c r="A115" t="s">
        <v>167</v>
      </c>
      <c r="B115">
        <v>459382</v>
      </c>
      <c r="C115" s="1" t="s">
        <v>28</v>
      </c>
      <c r="D115" s="11">
        <v>86450.15</v>
      </c>
      <c r="E115" s="1" t="s">
        <v>35</v>
      </c>
      <c r="F115">
        <v>40151</v>
      </c>
      <c r="G115" s="2">
        <v>45991</v>
      </c>
      <c r="H115" s="1" t="s">
        <v>28</v>
      </c>
      <c r="I115" s="1" t="s">
        <v>28</v>
      </c>
      <c r="J115">
        <v>9</v>
      </c>
      <c r="K115" s="1" t="s">
        <v>36</v>
      </c>
      <c r="L115" s="1" t="s">
        <v>28</v>
      </c>
      <c r="O115" s="1" t="s">
        <v>28</v>
      </c>
      <c r="P115" s="1" t="s">
        <v>52</v>
      </c>
      <c r="Q115" s="1" t="s">
        <v>31</v>
      </c>
      <c r="R115" s="1" t="s">
        <v>38</v>
      </c>
      <c r="S115" s="1" t="s">
        <v>45</v>
      </c>
      <c r="T115" s="1" t="s">
        <v>40</v>
      </c>
      <c r="U115" s="1" t="s">
        <v>32</v>
      </c>
      <c r="V115">
        <v>1944733</v>
      </c>
      <c r="W115" s="1" t="s">
        <v>33</v>
      </c>
      <c r="X115" s="1" t="s">
        <v>28</v>
      </c>
      <c r="Y115" s="1" t="s">
        <v>28</v>
      </c>
      <c r="Z115" s="1" t="s">
        <v>28</v>
      </c>
      <c r="AA115" s="1" t="s">
        <v>28</v>
      </c>
    </row>
    <row r="116" spans="1:27" x14ac:dyDescent="0.35">
      <c r="A116" t="s">
        <v>165</v>
      </c>
      <c r="B116">
        <v>456149</v>
      </c>
      <c r="C116" s="1" t="s">
        <v>28</v>
      </c>
      <c r="D116" s="11">
        <v>139742.13</v>
      </c>
      <c r="E116" s="1" t="s">
        <v>35</v>
      </c>
      <c r="F116">
        <v>40151</v>
      </c>
      <c r="G116" s="2">
        <v>45991</v>
      </c>
      <c r="H116" s="1" t="s">
        <v>28</v>
      </c>
      <c r="I116" s="1" t="s">
        <v>28</v>
      </c>
      <c r="J116">
        <v>10</v>
      </c>
      <c r="K116" s="1" t="s">
        <v>36</v>
      </c>
      <c r="L116" s="1" t="s">
        <v>28</v>
      </c>
      <c r="O116" s="1" t="s">
        <v>28</v>
      </c>
      <c r="P116" s="1" t="s">
        <v>50</v>
      </c>
      <c r="Q116" s="1" t="s">
        <v>31</v>
      </c>
      <c r="R116" s="1" t="s">
        <v>38</v>
      </c>
      <c r="S116" s="1" t="s">
        <v>45</v>
      </c>
      <c r="T116" s="1" t="s">
        <v>40</v>
      </c>
      <c r="U116" s="1" t="s">
        <v>32</v>
      </c>
      <c r="V116">
        <v>1944733</v>
      </c>
      <c r="W116" s="1" t="s">
        <v>33</v>
      </c>
      <c r="X116" s="1" t="s">
        <v>28</v>
      </c>
      <c r="Y116" s="1" t="s">
        <v>28</v>
      </c>
      <c r="Z116" s="1" t="s">
        <v>28</v>
      </c>
      <c r="AA116" s="1" t="s">
        <v>28</v>
      </c>
    </row>
    <row r="117" spans="1:27" x14ac:dyDescent="0.35">
      <c r="A117" t="s">
        <v>167</v>
      </c>
      <c r="B117">
        <v>438068</v>
      </c>
      <c r="C117" s="1" t="s">
        <v>28</v>
      </c>
      <c r="D117" s="11">
        <v>28550.33</v>
      </c>
      <c r="E117" s="1" t="s">
        <v>35</v>
      </c>
      <c r="F117">
        <v>40151</v>
      </c>
      <c r="G117" s="2">
        <v>45991</v>
      </c>
      <c r="H117" s="1" t="s">
        <v>28</v>
      </c>
      <c r="I117" s="1" t="s">
        <v>28</v>
      </c>
      <c r="J117">
        <v>11</v>
      </c>
      <c r="K117" s="1" t="s">
        <v>36</v>
      </c>
      <c r="L117" s="1" t="s">
        <v>28</v>
      </c>
      <c r="O117" s="1" t="s">
        <v>28</v>
      </c>
      <c r="P117" s="1" t="s">
        <v>46</v>
      </c>
      <c r="Q117" s="1" t="s">
        <v>31</v>
      </c>
      <c r="R117" s="1" t="s">
        <v>38</v>
      </c>
      <c r="S117" s="1" t="s">
        <v>45</v>
      </c>
      <c r="T117" s="1" t="s">
        <v>40</v>
      </c>
      <c r="U117" s="1" t="s">
        <v>32</v>
      </c>
      <c r="V117">
        <v>1944733</v>
      </c>
      <c r="W117" s="1" t="s">
        <v>33</v>
      </c>
      <c r="X117" s="1" t="s">
        <v>28</v>
      </c>
      <c r="Y117" s="1" t="s">
        <v>28</v>
      </c>
      <c r="Z117" s="1" t="s">
        <v>28</v>
      </c>
      <c r="AA117" s="1" t="s">
        <v>28</v>
      </c>
    </row>
    <row r="118" spans="1:27" x14ac:dyDescent="0.35">
      <c r="A118" t="s">
        <v>166</v>
      </c>
      <c r="B118">
        <v>327543</v>
      </c>
      <c r="C118" s="1" t="s">
        <v>28</v>
      </c>
      <c r="D118" s="11">
        <v>272019.21999999997</v>
      </c>
      <c r="E118" s="1" t="s">
        <v>35</v>
      </c>
      <c r="F118">
        <v>40151</v>
      </c>
      <c r="G118" s="2">
        <v>45991</v>
      </c>
      <c r="H118" s="1" t="s">
        <v>28</v>
      </c>
      <c r="I118" s="1" t="s">
        <v>28</v>
      </c>
      <c r="J118">
        <v>12</v>
      </c>
      <c r="K118" s="1" t="s">
        <v>36</v>
      </c>
      <c r="L118" s="1" t="s">
        <v>28</v>
      </c>
      <c r="O118" s="1" t="s">
        <v>28</v>
      </c>
      <c r="P118" s="1" t="s">
        <v>37</v>
      </c>
      <c r="Q118" s="1" t="s">
        <v>31</v>
      </c>
      <c r="R118" s="1" t="s">
        <v>38</v>
      </c>
      <c r="S118" s="1" t="s">
        <v>45</v>
      </c>
      <c r="T118" s="1" t="s">
        <v>40</v>
      </c>
      <c r="U118" s="1" t="s">
        <v>32</v>
      </c>
      <c r="V118">
        <v>1944733</v>
      </c>
      <c r="W118" s="1" t="s">
        <v>33</v>
      </c>
      <c r="X118" s="1" t="s">
        <v>28</v>
      </c>
      <c r="Y118" s="1" t="s">
        <v>28</v>
      </c>
      <c r="Z118" s="1" t="s">
        <v>28</v>
      </c>
      <c r="AA118" s="1" t="s">
        <v>28</v>
      </c>
    </row>
    <row r="119" spans="1:27" x14ac:dyDescent="0.35">
      <c r="A119" t="s">
        <v>166</v>
      </c>
      <c r="B119">
        <v>439096</v>
      </c>
      <c r="C119" s="1" t="s">
        <v>28</v>
      </c>
      <c r="D119" s="11">
        <v>8813.2999999999993</v>
      </c>
      <c r="E119" s="1" t="s">
        <v>35</v>
      </c>
      <c r="F119">
        <v>40151</v>
      </c>
      <c r="G119" s="2">
        <v>45991</v>
      </c>
      <c r="H119" s="1" t="s">
        <v>28</v>
      </c>
      <c r="I119" s="1" t="s">
        <v>28</v>
      </c>
      <c r="J119">
        <v>13</v>
      </c>
      <c r="K119" s="1" t="s">
        <v>36</v>
      </c>
      <c r="L119" s="1" t="s">
        <v>28</v>
      </c>
      <c r="O119" s="1" t="s">
        <v>28</v>
      </c>
      <c r="P119" s="1" t="s">
        <v>47</v>
      </c>
      <c r="Q119" s="1" t="s">
        <v>31</v>
      </c>
      <c r="R119" s="1" t="s">
        <v>38</v>
      </c>
      <c r="S119" s="1" t="s">
        <v>45</v>
      </c>
      <c r="T119" s="1" t="s">
        <v>40</v>
      </c>
      <c r="U119" s="1" t="s">
        <v>32</v>
      </c>
      <c r="V119">
        <v>1944733</v>
      </c>
      <c r="W119" s="1" t="s">
        <v>33</v>
      </c>
      <c r="X119" s="1" t="s">
        <v>28</v>
      </c>
      <c r="Y119" s="1" t="s">
        <v>28</v>
      </c>
      <c r="Z119" s="1" t="s">
        <v>28</v>
      </c>
      <c r="AA119" s="1" t="s">
        <v>28</v>
      </c>
    </row>
    <row r="120" spans="1:27" x14ac:dyDescent="0.35">
      <c r="A120" t="s">
        <v>165</v>
      </c>
      <c r="B120">
        <v>457691</v>
      </c>
      <c r="C120" s="1" t="s">
        <v>28</v>
      </c>
      <c r="D120" s="11">
        <v>18096.59</v>
      </c>
      <c r="E120" s="1" t="s">
        <v>35</v>
      </c>
      <c r="F120">
        <v>40151</v>
      </c>
      <c r="G120" s="2">
        <v>45991</v>
      </c>
      <c r="H120" s="1" t="s">
        <v>28</v>
      </c>
      <c r="I120" s="1" t="s">
        <v>28</v>
      </c>
      <c r="J120">
        <v>14</v>
      </c>
      <c r="K120" s="1" t="s">
        <v>36</v>
      </c>
      <c r="L120" s="1" t="s">
        <v>28</v>
      </c>
      <c r="O120" s="1" t="s">
        <v>28</v>
      </c>
      <c r="P120" s="1" t="s">
        <v>51</v>
      </c>
      <c r="Q120" s="1" t="s">
        <v>31</v>
      </c>
      <c r="R120" s="1" t="s">
        <v>38</v>
      </c>
      <c r="S120" s="1" t="s">
        <v>45</v>
      </c>
      <c r="T120" s="1" t="s">
        <v>40</v>
      </c>
      <c r="U120" s="1" t="s">
        <v>32</v>
      </c>
      <c r="V120">
        <v>1944733</v>
      </c>
      <c r="W120" s="1" t="s">
        <v>33</v>
      </c>
      <c r="X120" s="1" t="s">
        <v>28</v>
      </c>
      <c r="Y120" s="1" t="s">
        <v>28</v>
      </c>
      <c r="Z120" s="1" t="s">
        <v>28</v>
      </c>
      <c r="AA120" s="1" t="s">
        <v>28</v>
      </c>
    </row>
    <row r="121" spans="1:27" x14ac:dyDescent="0.35">
      <c r="A121" t="s">
        <v>166</v>
      </c>
      <c r="B121">
        <v>439097</v>
      </c>
      <c r="C121" s="1" t="s">
        <v>28</v>
      </c>
      <c r="D121" s="11">
        <v>81760.58</v>
      </c>
      <c r="E121" s="1" t="s">
        <v>35</v>
      </c>
      <c r="F121">
        <v>40152</v>
      </c>
      <c r="G121" s="2">
        <v>45991</v>
      </c>
      <c r="H121" s="1" t="s">
        <v>28</v>
      </c>
      <c r="I121" s="1" t="s">
        <v>28</v>
      </c>
      <c r="J121">
        <v>8</v>
      </c>
      <c r="K121" s="1" t="s">
        <v>36</v>
      </c>
      <c r="L121" s="1" t="s">
        <v>28</v>
      </c>
      <c r="O121" s="1" t="s">
        <v>28</v>
      </c>
      <c r="P121" s="1" t="s">
        <v>44</v>
      </c>
      <c r="Q121" s="1" t="s">
        <v>31</v>
      </c>
      <c r="R121" s="1" t="s">
        <v>38</v>
      </c>
      <c r="S121" s="1" t="s">
        <v>45</v>
      </c>
      <c r="T121" s="1" t="s">
        <v>40</v>
      </c>
      <c r="U121" s="1" t="s">
        <v>32</v>
      </c>
      <c r="V121">
        <v>1944733</v>
      </c>
      <c r="W121" s="1" t="s">
        <v>33</v>
      </c>
      <c r="X121" s="1" t="s">
        <v>28</v>
      </c>
      <c r="Y121" s="1" t="s">
        <v>28</v>
      </c>
      <c r="Z121" s="1" t="s">
        <v>28</v>
      </c>
      <c r="AA121" s="1" t="s">
        <v>28</v>
      </c>
    </row>
    <row r="122" spans="1:27" x14ac:dyDescent="0.35">
      <c r="A122" t="s">
        <v>167</v>
      </c>
      <c r="B122">
        <v>459382</v>
      </c>
      <c r="C122" s="1" t="s">
        <v>28</v>
      </c>
      <c r="D122" s="11">
        <v>154798.14000000001</v>
      </c>
      <c r="E122" s="1" t="s">
        <v>35</v>
      </c>
      <c r="F122">
        <v>40152</v>
      </c>
      <c r="G122" s="2">
        <v>45991</v>
      </c>
      <c r="H122" s="1" t="s">
        <v>28</v>
      </c>
      <c r="I122" s="1" t="s">
        <v>28</v>
      </c>
      <c r="J122">
        <v>9</v>
      </c>
      <c r="K122" s="1" t="s">
        <v>36</v>
      </c>
      <c r="L122" s="1" t="s">
        <v>28</v>
      </c>
      <c r="O122" s="1" t="s">
        <v>28</v>
      </c>
      <c r="P122" s="1" t="s">
        <v>52</v>
      </c>
      <c r="Q122" s="1" t="s">
        <v>31</v>
      </c>
      <c r="R122" s="1" t="s">
        <v>38</v>
      </c>
      <c r="S122" s="1" t="s">
        <v>45</v>
      </c>
      <c r="T122" s="1" t="s">
        <v>40</v>
      </c>
      <c r="U122" s="1" t="s">
        <v>32</v>
      </c>
      <c r="V122">
        <v>1944733</v>
      </c>
      <c r="W122" s="1" t="s">
        <v>33</v>
      </c>
      <c r="X122" s="1" t="s">
        <v>28</v>
      </c>
      <c r="Y122" s="1" t="s">
        <v>28</v>
      </c>
      <c r="Z122" s="1" t="s">
        <v>28</v>
      </c>
      <c r="AA122" s="1" t="s">
        <v>28</v>
      </c>
    </row>
    <row r="123" spans="1:27" x14ac:dyDescent="0.35">
      <c r="A123" t="s">
        <v>165</v>
      </c>
      <c r="B123">
        <v>456149</v>
      </c>
      <c r="C123" s="1" t="s">
        <v>28</v>
      </c>
      <c r="D123" s="11">
        <v>250223.08</v>
      </c>
      <c r="E123" s="1" t="s">
        <v>35</v>
      </c>
      <c r="F123">
        <v>40152</v>
      </c>
      <c r="G123" s="2">
        <v>45991</v>
      </c>
      <c r="H123" s="1" t="s">
        <v>28</v>
      </c>
      <c r="I123" s="1" t="s">
        <v>28</v>
      </c>
      <c r="J123">
        <v>10</v>
      </c>
      <c r="K123" s="1" t="s">
        <v>36</v>
      </c>
      <c r="L123" s="1" t="s">
        <v>28</v>
      </c>
      <c r="O123" s="1" t="s">
        <v>28</v>
      </c>
      <c r="P123" s="1" t="s">
        <v>50</v>
      </c>
      <c r="Q123" s="1" t="s">
        <v>31</v>
      </c>
      <c r="R123" s="1" t="s">
        <v>38</v>
      </c>
      <c r="S123" s="1" t="s">
        <v>45</v>
      </c>
      <c r="T123" s="1" t="s">
        <v>40</v>
      </c>
      <c r="U123" s="1" t="s">
        <v>32</v>
      </c>
      <c r="V123">
        <v>1944733</v>
      </c>
      <c r="W123" s="1" t="s">
        <v>33</v>
      </c>
      <c r="X123" s="1" t="s">
        <v>28</v>
      </c>
      <c r="Y123" s="1" t="s">
        <v>28</v>
      </c>
      <c r="Z123" s="1" t="s">
        <v>28</v>
      </c>
      <c r="AA123" s="1" t="s">
        <v>28</v>
      </c>
    </row>
    <row r="124" spans="1:27" x14ac:dyDescent="0.35">
      <c r="A124" t="s">
        <v>167</v>
      </c>
      <c r="B124">
        <v>438068</v>
      </c>
      <c r="C124" s="1" t="s">
        <v>28</v>
      </c>
      <c r="D124" s="11">
        <v>51122.39</v>
      </c>
      <c r="E124" s="1" t="s">
        <v>35</v>
      </c>
      <c r="F124">
        <v>40152</v>
      </c>
      <c r="G124" s="2">
        <v>45991</v>
      </c>
      <c r="H124" s="1" t="s">
        <v>28</v>
      </c>
      <c r="I124" s="1" t="s">
        <v>28</v>
      </c>
      <c r="J124">
        <v>11</v>
      </c>
      <c r="K124" s="1" t="s">
        <v>36</v>
      </c>
      <c r="L124" s="1" t="s">
        <v>28</v>
      </c>
      <c r="O124" s="1" t="s">
        <v>28</v>
      </c>
      <c r="P124" s="1" t="s">
        <v>46</v>
      </c>
      <c r="Q124" s="1" t="s">
        <v>31</v>
      </c>
      <c r="R124" s="1" t="s">
        <v>38</v>
      </c>
      <c r="S124" s="1" t="s">
        <v>45</v>
      </c>
      <c r="T124" s="1" t="s">
        <v>40</v>
      </c>
      <c r="U124" s="1" t="s">
        <v>32</v>
      </c>
      <c r="V124">
        <v>1944733</v>
      </c>
      <c r="W124" s="1" t="s">
        <v>33</v>
      </c>
      <c r="X124" s="1" t="s">
        <v>28</v>
      </c>
      <c r="Y124" s="1" t="s">
        <v>28</v>
      </c>
      <c r="Z124" s="1" t="s">
        <v>28</v>
      </c>
      <c r="AA124" s="1" t="s">
        <v>28</v>
      </c>
    </row>
    <row r="125" spans="1:27" x14ac:dyDescent="0.35">
      <c r="A125" t="s">
        <v>166</v>
      </c>
      <c r="B125">
        <v>327543</v>
      </c>
      <c r="C125" s="1" t="s">
        <v>28</v>
      </c>
      <c r="D125" s="11">
        <v>487215.17</v>
      </c>
      <c r="E125" s="1" t="s">
        <v>35</v>
      </c>
      <c r="F125">
        <v>40152</v>
      </c>
      <c r="G125" s="2">
        <v>45991</v>
      </c>
      <c r="H125" s="1" t="s">
        <v>28</v>
      </c>
      <c r="I125" s="1" t="s">
        <v>28</v>
      </c>
      <c r="J125">
        <v>12</v>
      </c>
      <c r="K125" s="1" t="s">
        <v>36</v>
      </c>
      <c r="L125" s="1" t="s">
        <v>28</v>
      </c>
      <c r="O125" s="1" t="s">
        <v>28</v>
      </c>
      <c r="P125" s="1" t="s">
        <v>37</v>
      </c>
      <c r="Q125" s="1" t="s">
        <v>31</v>
      </c>
      <c r="R125" s="1" t="s">
        <v>38</v>
      </c>
      <c r="S125" s="1" t="s">
        <v>45</v>
      </c>
      <c r="T125" s="1" t="s">
        <v>40</v>
      </c>
      <c r="U125" s="1" t="s">
        <v>32</v>
      </c>
      <c r="V125">
        <v>1944733</v>
      </c>
      <c r="W125" s="1" t="s">
        <v>33</v>
      </c>
      <c r="X125" s="1" t="s">
        <v>28</v>
      </c>
      <c r="Y125" s="1" t="s">
        <v>28</v>
      </c>
      <c r="Z125" s="1" t="s">
        <v>28</v>
      </c>
      <c r="AA125" s="1" t="s">
        <v>28</v>
      </c>
    </row>
    <row r="126" spans="1:27" x14ac:dyDescent="0.35">
      <c r="A126" t="s">
        <v>166</v>
      </c>
      <c r="B126">
        <v>439096</v>
      </c>
      <c r="C126" s="1" t="s">
        <v>28</v>
      </c>
      <c r="D126" s="11">
        <v>15781.14</v>
      </c>
      <c r="E126" s="1" t="s">
        <v>35</v>
      </c>
      <c r="F126">
        <v>40152</v>
      </c>
      <c r="G126" s="2">
        <v>45991</v>
      </c>
      <c r="H126" s="1" t="s">
        <v>28</v>
      </c>
      <c r="I126" s="1" t="s">
        <v>28</v>
      </c>
      <c r="J126">
        <v>13</v>
      </c>
      <c r="K126" s="1" t="s">
        <v>36</v>
      </c>
      <c r="L126" s="1" t="s">
        <v>28</v>
      </c>
      <c r="O126" s="1" t="s">
        <v>28</v>
      </c>
      <c r="P126" s="1" t="s">
        <v>47</v>
      </c>
      <c r="Q126" s="1" t="s">
        <v>31</v>
      </c>
      <c r="R126" s="1" t="s">
        <v>38</v>
      </c>
      <c r="S126" s="1" t="s">
        <v>45</v>
      </c>
      <c r="T126" s="1" t="s">
        <v>40</v>
      </c>
      <c r="U126" s="1" t="s">
        <v>32</v>
      </c>
      <c r="V126">
        <v>1944733</v>
      </c>
      <c r="W126" s="1" t="s">
        <v>33</v>
      </c>
      <c r="X126" s="1" t="s">
        <v>28</v>
      </c>
      <c r="Y126" s="1" t="s">
        <v>28</v>
      </c>
      <c r="Z126" s="1" t="s">
        <v>28</v>
      </c>
      <c r="AA126" s="1" t="s">
        <v>28</v>
      </c>
    </row>
    <row r="127" spans="1:27" x14ac:dyDescent="0.35">
      <c r="A127" t="s">
        <v>165</v>
      </c>
      <c r="B127">
        <v>457691</v>
      </c>
      <c r="C127" s="1" t="s">
        <v>28</v>
      </c>
      <c r="D127" s="11">
        <v>32403.85</v>
      </c>
      <c r="E127" s="1" t="s">
        <v>35</v>
      </c>
      <c r="F127">
        <v>40152</v>
      </c>
      <c r="G127" s="2">
        <v>45991</v>
      </c>
      <c r="H127" s="1" t="s">
        <v>28</v>
      </c>
      <c r="I127" s="1" t="s">
        <v>28</v>
      </c>
      <c r="J127">
        <v>14</v>
      </c>
      <c r="K127" s="1" t="s">
        <v>36</v>
      </c>
      <c r="L127" s="1" t="s">
        <v>28</v>
      </c>
      <c r="O127" s="1" t="s">
        <v>28</v>
      </c>
      <c r="P127" s="1" t="s">
        <v>51</v>
      </c>
      <c r="Q127" s="1" t="s">
        <v>31</v>
      </c>
      <c r="R127" s="1" t="s">
        <v>38</v>
      </c>
      <c r="S127" s="1" t="s">
        <v>45</v>
      </c>
      <c r="T127" s="1" t="s">
        <v>40</v>
      </c>
      <c r="U127" s="1" t="s">
        <v>32</v>
      </c>
      <c r="V127">
        <v>1944733</v>
      </c>
      <c r="W127" s="1" t="s">
        <v>33</v>
      </c>
      <c r="X127" s="1" t="s">
        <v>28</v>
      </c>
      <c r="Y127" s="1" t="s">
        <v>28</v>
      </c>
      <c r="Z127" s="1" t="s">
        <v>28</v>
      </c>
      <c r="AA127" s="1" t="s">
        <v>28</v>
      </c>
    </row>
    <row r="128" spans="1:27" x14ac:dyDescent="0.35">
      <c r="A128" t="s">
        <v>166</v>
      </c>
      <c r="B128">
        <v>439097</v>
      </c>
      <c r="C128" s="1" t="s">
        <v>28</v>
      </c>
      <c r="D128" s="11">
        <v>-189084.85</v>
      </c>
      <c r="E128" s="1" t="s">
        <v>35</v>
      </c>
      <c r="F128">
        <v>40154</v>
      </c>
      <c r="G128" s="2">
        <v>45991</v>
      </c>
      <c r="H128" s="1" t="s">
        <v>28</v>
      </c>
      <c r="I128" s="1" t="s">
        <v>28</v>
      </c>
      <c r="J128">
        <v>8</v>
      </c>
      <c r="K128" s="1" t="s">
        <v>36</v>
      </c>
      <c r="L128" s="1" t="s">
        <v>28</v>
      </c>
      <c r="O128" s="1" t="s">
        <v>28</v>
      </c>
      <c r="P128" s="1" t="s">
        <v>44</v>
      </c>
      <c r="Q128" s="1" t="s">
        <v>31</v>
      </c>
      <c r="R128" s="1" t="s">
        <v>38</v>
      </c>
      <c r="S128" s="1" t="s">
        <v>45</v>
      </c>
      <c r="T128" s="1" t="s">
        <v>40</v>
      </c>
      <c r="U128" s="1" t="s">
        <v>32</v>
      </c>
      <c r="V128">
        <v>1944733</v>
      </c>
      <c r="W128" s="1" t="s">
        <v>33</v>
      </c>
      <c r="X128" s="1" t="s">
        <v>28</v>
      </c>
      <c r="Y128" s="1" t="s">
        <v>28</v>
      </c>
      <c r="Z128" s="1" t="s">
        <v>28</v>
      </c>
      <c r="AA128" s="1" t="s">
        <v>28</v>
      </c>
    </row>
    <row r="129" spans="1:27" x14ac:dyDescent="0.35">
      <c r="A129" t="s">
        <v>167</v>
      </c>
      <c r="B129">
        <v>459382</v>
      </c>
      <c r="C129" s="1" t="s">
        <v>28</v>
      </c>
      <c r="D129" s="11">
        <v>-357996.29</v>
      </c>
      <c r="E129" s="1" t="s">
        <v>35</v>
      </c>
      <c r="F129">
        <v>40154</v>
      </c>
      <c r="G129" s="2">
        <v>45991</v>
      </c>
      <c r="H129" s="1" t="s">
        <v>28</v>
      </c>
      <c r="I129" s="1" t="s">
        <v>28</v>
      </c>
      <c r="J129">
        <v>9</v>
      </c>
      <c r="K129" s="1" t="s">
        <v>36</v>
      </c>
      <c r="L129" s="1" t="s">
        <v>28</v>
      </c>
      <c r="O129" s="1" t="s">
        <v>28</v>
      </c>
      <c r="P129" s="1" t="s">
        <v>52</v>
      </c>
      <c r="Q129" s="1" t="s">
        <v>31</v>
      </c>
      <c r="R129" s="1" t="s">
        <v>38</v>
      </c>
      <c r="S129" s="1" t="s">
        <v>45</v>
      </c>
      <c r="T129" s="1" t="s">
        <v>40</v>
      </c>
      <c r="U129" s="1" t="s">
        <v>32</v>
      </c>
      <c r="V129">
        <v>1944733</v>
      </c>
      <c r="W129" s="1" t="s">
        <v>33</v>
      </c>
      <c r="X129" s="1" t="s">
        <v>28</v>
      </c>
      <c r="Y129" s="1" t="s">
        <v>28</v>
      </c>
      <c r="Z129" s="1" t="s">
        <v>28</v>
      </c>
      <c r="AA129" s="1" t="s">
        <v>28</v>
      </c>
    </row>
    <row r="130" spans="1:27" x14ac:dyDescent="0.35">
      <c r="A130" t="s">
        <v>165</v>
      </c>
      <c r="B130">
        <v>456149</v>
      </c>
      <c r="C130" s="1" t="s">
        <v>28</v>
      </c>
      <c r="D130" s="11">
        <v>-578682.22</v>
      </c>
      <c r="E130" s="1" t="s">
        <v>35</v>
      </c>
      <c r="F130">
        <v>40154</v>
      </c>
      <c r="G130" s="2">
        <v>45991</v>
      </c>
      <c r="H130" s="1" t="s">
        <v>28</v>
      </c>
      <c r="I130" s="1" t="s">
        <v>28</v>
      </c>
      <c r="J130">
        <v>10</v>
      </c>
      <c r="K130" s="1" t="s">
        <v>36</v>
      </c>
      <c r="L130" s="1" t="s">
        <v>28</v>
      </c>
      <c r="O130" s="1" t="s">
        <v>28</v>
      </c>
      <c r="P130" s="1" t="s">
        <v>50</v>
      </c>
      <c r="Q130" s="1" t="s">
        <v>31</v>
      </c>
      <c r="R130" s="1" t="s">
        <v>38</v>
      </c>
      <c r="S130" s="1" t="s">
        <v>45</v>
      </c>
      <c r="T130" s="1" t="s">
        <v>40</v>
      </c>
      <c r="U130" s="1" t="s">
        <v>32</v>
      </c>
      <c r="V130">
        <v>1944733</v>
      </c>
      <c r="W130" s="1" t="s">
        <v>33</v>
      </c>
      <c r="X130" s="1" t="s">
        <v>28</v>
      </c>
      <c r="Y130" s="1" t="s">
        <v>28</v>
      </c>
      <c r="Z130" s="1" t="s">
        <v>28</v>
      </c>
      <c r="AA130" s="1" t="s">
        <v>28</v>
      </c>
    </row>
    <row r="131" spans="1:27" x14ac:dyDescent="0.35">
      <c r="A131" t="s">
        <v>167</v>
      </c>
      <c r="B131">
        <v>438068</v>
      </c>
      <c r="C131" s="1" t="s">
        <v>28</v>
      </c>
      <c r="D131" s="11">
        <v>-118228.98</v>
      </c>
      <c r="E131" s="1" t="s">
        <v>35</v>
      </c>
      <c r="F131">
        <v>40154</v>
      </c>
      <c r="G131" s="2">
        <v>45991</v>
      </c>
      <c r="H131" s="1" t="s">
        <v>28</v>
      </c>
      <c r="I131" s="1" t="s">
        <v>28</v>
      </c>
      <c r="J131">
        <v>11</v>
      </c>
      <c r="K131" s="1" t="s">
        <v>36</v>
      </c>
      <c r="L131" s="1" t="s">
        <v>28</v>
      </c>
      <c r="O131" s="1" t="s">
        <v>28</v>
      </c>
      <c r="P131" s="1" t="s">
        <v>46</v>
      </c>
      <c r="Q131" s="1" t="s">
        <v>31</v>
      </c>
      <c r="R131" s="1" t="s">
        <v>38</v>
      </c>
      <c r="S131" s="1" t="s">
        <v>45</v>
      </c>
      <c r="T131" s="1" t="s">
        <v>40</v>
      </c>
      <c r="U131" s="1" t="s">
        <v>32</v>
      </c>
      <c r="V131">
        <v>1944733</v>
      </c>
      <c r="W131" s="1" t="s">
        <v>33</v>
      </c>
      <c r="X131" s="1" t="s">
        <v>28</v>
      </c>
      <c r="Y131" s="1" t="s">
        <v>28</v>
      </c>
      <c r="Z131" s="1" t="s">
        <v>28</v>
      </c>
      <c r="AA131" s="1" t="s">
        <v>28</v>
      </c>
    </row>
    <row r="132" spans="1:27" x14ac:dyDescent="0.35">
      <c r="A132" t="s">
        <v>166</v>
      </c>
      <c r="B132">
        <v>327543</v>
      </c>
      <c r="C132" s="1" t="s">
        <v>28</v>
      </c>
      <c r="D132" s="11">
        <v>-151566.41</v>
      </c>
      <c r="E132" s="1" t="s">
        <v>35</v>
      </c>
      <c r="F132">
        <v>40154</v>
      </c>
      <c r="G132" s="2">
        <v>45991</v>
      </c>
      <c r="H132" s="1" t="s">
        <v>28</v>
      </c>
      <c r="I132" s="1" t="s">
        <v>28</v>
      </c>
      <c r="J132">
        <v>12</v>
      </c>
      <c r="K132" s="1" t="s">
        <v>36</v>
      </c>
      <c r="L132" s="1" t="s">
        <v>28</v>
      </c>
      <c r="O132" s="1" t="s">
        <v>28</v>
      </c>
      <c r="P132" s="1" t="s">
        <v>37</v>
      </c>
      <c r="Q132" s="1" t="s">
        <v>31</v>
      </c>
      <c r="R132" s="1" t="s">
        <v>38</v>
      </c>
      <c r="S132" s="1" t="s">
        <v>45</v>
      </c>
      <c r="T132" s="1" t="s">
        <v>40</v>
      </c>
      <c r="U132" s="1" t="s">
        <v>32</v>
      </c>
      <c r="V132">
        <v>1944733</v>
      </c>
      <c r="W132" s="1" t="s">
        <v>33</v>
      </c>
      <c r="X132" s="1" t="s">
        <v>28</v>
      </c>
      <c r="Y132" s="1" t="s">
        <v>28</v>
      </c>
      <c r="Z132" s="1" t="s">
        <v>28</v>
      </c>
      <c r="AA132" s="1" t="s">
        <v>28</v>
      </c>
    </row>
    <row r="133" spans="1:27" x14ac:dyDescent="0.35">
      <c r="A133" t="s">
        <v>166</v>
      </c>
      <c r="B133">
        <v>439096</v>
      </c>
      <c r="C133" s="1" t="s">
        <v>28</v>
      </c>
      <c r="D133" s="11">
        <v>-36496.5</v>
      </c>
      <c r="E133" s="1" t="s">
        <v>35</v>
      </c>
      <c r="F133">
        <v>40154</v>
      </c>
      <c r="G133" s="2">
        <v>45991</v>
      </c>
      <c r="H133" s="1" t="s">
        <v>28</v>
      </c>
      <c r="I133" s="1" t="s">
        <v>28</v>
      </c>
      <c r="J133">
        <v>13</v>
      </c>
      <c r="K133" s="1" t="s">
        <v>36</v>
      </c>
      <c r="L133" s="1" t="s">
        <v>28</v>
      </c>
      <c r="O133" s="1" t="s">
        <v>28</v>
      </c>
      <c r="P133" s="1" t="s">
        <v>47</v>
      </c>
      <c r="Q133" s="1" t="s">
        <v>31</v>
      </c>
      <c r="R133" s="1" t="s">
        <v>38</v>
      </c>
      <c r="S133" s="1" t="s">
        <v>45</v>
      </c>
      <c r="T133" s="1" t="s">
        <v>40</v>
      </c>
      <c r="U133" s="1" t="s">
        <v>32</v>
      </c>
      <c r="V133">
        <v>1944733</v>
      </c>
      <c r="W133" s="1" t="s">
        <v>33</v>
      </c>
      <c r="X133" s="1" t="s">
        <v>28</v>
      </c>
      <c r="Y133" s="1" t="s">
        <v>28</v>
      </c>
      <c r="Z133" s="1" t="s">
        <v>28</v>
      </c>
      <c r="AA133" s="1" t="s">
        <v>28</v>
      </c>
    </row>
    <row r="134" spans="1:27" x14ac:dyDescent="0.35">
      <c r="A134" t="s">
        <v>165</v>
      </c>
      <c r="B134">
        <v>457691</v>
      </c>
      <c r="C134" s="1" t="s">
        <v>28</v>
      </c>
      <c r="D134" s="11">
        <v>-74939.27</v>
      </c>
      <c r="E134" s="1" t="s">
        <v>35</v>
      </c>
      <c r="F134">
        <v>40154</v>
      </c>
      <c r="G134" s="2">
        <v>45991</v>
      </c>
      <c r="H134" s="1" t="s">
        <v>28</v>
      </c>
      <c r="I134" s="1" t="s">
        <v>28</v>
      </c>
      <c r="J134">
        <v>14</v>
      </c>
      <c r="K134" s="1" t="s">
        <v>36</v>
      </c>
      <c r="L134" s="1" t="s">
        <v>28</v>
      </c>
      <c r="O134" s="1" t="s">
        <v>28</v>
      </c>
      <c r="P134" s="1" t="s">
        <v>51</v>
      </c>
      <c r="Q134" s="1" t="s">
        <v>31</v>
      </c>
      <c r="R134" s="1" t="s">
        <v>38</v>
      </c>
      <c r="S134" s="1" t="s">
        <v>45</v>
      </c>
      <c r="T134" s="1" t="s">
        <v>40</v>
      </c>
      <c r="U134" s="1" t="s">
        <v>32</v>
      </c>
      <c r="V134">
        <v>1944733</v>
      </c>
      <c r="W134" s="1" t="s">
        <v>33</v>
      </c>
      <c r="X134" s="1" t="s">
        <v>28</v>
      </c>
      <c r="Y134" s="1" t="s">
        <v>28</v>
      </c>
      <c r="Z134" s="1" t="s">
        <v>28</v>
      </c>
      <c r="AA134" s="1" t="s">
        <v>28</v>
      </c>
    </row>
    <row r="135" spans="1:27" x14ac:dyDescent="0.35">
      <c r="A135" t="s">
        <v>166</v>
      </c>
      <c r="B135">
        <v>327543</v>
      </c>
      <c r="C135" s="1" t="s">
        <v>28</v>
      </c>
      <c r="D135" s="11">
        <v>10077643.529999999</v>
      </c>
      <c r="E135" s="1" t="s">
        <v>35</v>
      </c>
      <c r="F135">
        <v>40215</v>
      </c>
      <c r="G135" s="2">
        <v>45991</v>
      </c>
      <c r="H135" s="1" t="s">
        <v>28</v>
      </c>
      <c r="I135" s="1" t="s">
        <v>28</v>
      </c>
      <c r="J135">
        <v>2</v>
      </c>
      <c r="K135" s="1" t="s">
        <v>36</v>
      </c>
      <c r="L135" s="1" t="s">
        <v>28</v>
      </c>
      <c r="O135" s="1" t="s">
        <v>28</v>
      </c>
      <c r="P135" s="1" t="s">
        <v>37</v>
      </c>
      <c r="Q135" s="1" t="s">
        <v>31</v>
      </c>
      <c r="R135" s="1" t="s">
        <v>38</v>
      </c>
      <c r="S135" s="1" t="s">
        <v>39</v>
      </c>
      <c r="T135" s="1" t="s">
        <v>40</v>
      </c>
      <c r="U135" s="1" t="s">
        <v>32</v>
      </c>
      <c r="V135">
        <v>1944733</v>
      </c>
      <c r="W135" s="1" t="s">
        <v>33</v>
      </c>
      <c r="X135" s="1" t="s">
        <v>28</v>
      </c>
      <c r="Y135" s="1" t="s">
        <v>28</v>
      </c>
      <c r="Z135" s="1" t="s">
        <v>28</v>
      </c>
      <c r="AA135" s="1" t="s">
        <v>28</v>
      </c>
    </row>
    <row r="136" spans="1:27" x14ac:dyDescent="0.35">
      <c r="A136" t="s">
        <v>166</v>
      </c>
      <c r="B136">
        <v>327543</v>
      </c>
      <c r="C136" s="1" t="s">
        <v>28</v>
      </c>
      <c r="D136" s="11">
        <v>2484019.4900000002</v>
      </c>
      <c r="E136" s="1" t="s">
        <v>35</v>
      </c>
      <c r="F136">
        <v>40217</v>
      </c>
      <c r="G136" s="2">
        <v>45991</v>
      </c>
      <c r="H136" s="1" t="s">
        <v>28</v>
      </c>
      <c r="I136" s="1" t="s">
        <v>28</v>
      </c>
      <c r="J136">
        <v>2</v>
      </c>
      <c r="K136" s="1" t="s">
        <v>36</v>
      </c>
      <c r="L136" s="1" t="s">
        <v>28</v>
      </c>
      <c r="O136" s="1" t="s">
        <v>28</v>
      </c>
      <c r="P136" s="1" t="s">
        <v>37</v>
      </c>
      <c r="Q136" s="1" t="s">
        <v>31</v>
      </c>
      <c r="R136" s="1" t="s">
        <v>38</v>
      </c>
      <c r="S136" s="1" t="s">
        <v>39</v>
      </c>
      <c r="T136" s="1" t="s">
        <v>40</v>
      </c>
      <c r="U136" s="1" t="s">
        <v>32</v>
      </c>
      <c r="V136">
        <v>1944733</v>
      </c>
      <c r="W136" s="1" t="s">
        <v>33</v>
      </c>
      <c r="X136" s="1" t="s">
        <v>28</v>
      </c>
      <c r="Y136" s="1" t="s">
        <v>28</v>
      </c>
      <c r="Z136" s="1" t="s">
        <v>28</v>
      </c>
      <c r="AA136" s="1" t="s">
        <v>28</v>
      </c>
    </row>
    <row r="137" spans="1:27" x14ac:dyDescent="0.35">
      <c r="A137" t="s">
        <v>166</v>
      </c>
      <c r="B137">
        <v>327543</v>
      </c>
      <c r="C137" s="1" t="s">
        <v>28</v>
      </c>
      <c r="D137" s="11">
        <v>1955805.27</v>
      </c>
      <c r="E137" s="1" t="s">
        <v>35</v>
      </c>
      <c r="F137">
        <v>40218</v>
      </c>
      <c r="G137" s="2">
        <v>45991</v>
      </c>
      <c r="H137" s="1" t="s">
        <v>28</v>
      </c>
      <c r="I137" s="1" t="s">
        <v>28</v>
      </c>
      <c r="J137">
        <v>2</v>
      </c>
      <c r="K137" s="1" t="s">
        <v>36</v>
      </c>
      <c r="L137" s="1" t="s">
        <v>28</v>
      </c>
      <c r="O137" s="1" t="s">
        <v>28</v>
      </c>
      <c r="P137" s="1" t="s">
        <v>37</v>
      </c>
      <c r="Q137" s="1" t="s">
        <v>31</v>
      </c>
      <c r="R137" s="1" t="s">
        <v>38</v>
      </c>
      <c r="S137" s="1" t="s">
        <v>39</v>
      </c>
      <c r="T137" s="1" t="s">
        <v>40</v>
      </c>
      <c r="U137" s="1" t="s">
        <v>32</v>
      </c>
      <c r="V137">
        <v>1944733</v>
      </c>
      <c r="W137" s="1" t="s">
        <v>33</v>
      </c>
      <c r="X137" s="1" t="s">
        <v>28</v>
      </c>
      <c r="Y137" s="1" t="s">
        <v>28</v>
      </c>
      <c r="Z137" s="1" t="s">
        <v>28</v>
      </c>
      <c r="AA137" s="1" t="s">
        <v>28</v>
      </c>
    </row>
    <row r="138" spans="1:27" x14ac:dyDescent="0.35">
      <c r="A138" t="s">
        <v>166</v>
      </c>
      <c r="B138">
        <v>327543</v>
      </c>
      <c r="C138" s="1" t="s">
        <v>28</v>
      </c>
      <c r="D138" s="11">
        <v>3035328.93</v>
      </c>
      <c r="E138" s="1" t="s">
        <v>35</v>
      </c>
      <c r="F138">
        <v>40219</v>
      </c>
      <c r="G138" s="2">
        <v>45991</v>
      </c>
      <c r="H138" s="1" t="s">
        <v>28</v>
      </c>
      <c r="I138" s="1" t="s">
        <v>28</v>
      </c>
      <c r="J138">
        <v>2</v>
      </c>
      <c r="K138" s="1" t="s">
        <v>36</v>
      </c>
      <c r="L138" s="1" t="s">
        <v>28</v>
      </c>
      <c r="O138" s="1" t="s">
        <v>28</v>
      </c>
      <c r="P138" s="1" t="s">
        <v>37</v>
      </c>
      <c r="Q138" s="1" t="s">
        <v>31</v>
      </c>
      <c r="R138" s="1" t="s">
        <v>38</v>
      </c>
      <c r="S138" s="1" t="s">
        <v>39</v>
      </c>
      <c r="T138" s="1" t="s">
        <v>40</v>
      </c>
      <c r="U138" s="1" t="s">
        <v>32</v>
      </c>
      <c r="V138">
        <v>1944733</v>
      </c>
      <c r="W138" s="1" t="s">
        <v>33</v>
      </c>
      <c r="X138" s="1" t="s">
        <v>28</v>
      </c>
      <c r="Y138" s="1" t="s">
        <v>28</v>
      </c>
      <c r="Z138" s="1" t="s">
        <v>28</v>
      </c>
      <c r="AA138" s="1" t="s">
        <v>28</v>
      </c>
    </row>
    <row r="139" spans="1:27" x14ac:dyDescent="0.35">
      <c r="A139" t="s">
        <v>166</v>
      </c>
      <c r="B139">
        <v>327543</v>
      </c>
      <c r="C139" s="1" t="s">
        <v>28</v>
      </c>
      <c r="D139" s="11">
        <v>4462087.41</v>
      </c>
      <c r="E139" s="1" t="s">
        <v>35</v>
      </c>
      <c r="F139">
        <v>40220</v>
      </c>
      <c r="G139" s="2">
        <v>45991</v>
      </c>
      <c r="H139" s="1" t="s">
        <v>28</v>
      </c>
      <c r="I139" s="1" t="s">
        <v>28</v>
      </c>
      <c r="J139">
        <v>2</v>
      </c>
      <c r="K139" s="1" t="s">
        <v>36</v>
      </c>
      <c r="L139" s="1" t="s">
        <v>28</v>
      </c>
      <c r="O139" s="1" t="s">
        <v>28</v>
      </c>
      <c r="P139" s="1" t="s">
        <v>37</v>
      </c>
      <c r="Q139" s="1" t="s">
        <v>31</v>
      </c>
      <c r="R139" s="1" t="s">
        <v>38</v>
      </c>
      <c r="S139" s="1" t="s">
        <v>39</v>
      </c>
      <c r="T139" s="1" t="s">
        <v>40</v>
      </c>
      <c r="U139" s="1" t="s">
        <v>32</v>
      </c>
      <c r="V139">
        <v>1944733</v>
      </c>
      <c r="W139" s="1" t="s">
        <v>33</v>
      </c>
      <c r="X139" s="1" t="s">
        <v>28</v>
      </c>
      <c r="Y139" s="1" t="s">
        <v>28</v>
      </c>
      <c r="Z139" s="1" t="s">
        <v>28</v>
      </c>
      <c r="AA139" s="1" t="s">
        <v>28</v>
      </c>
    </row>
    <row r="140" spans="1:27" x14ac:dyDescent="0.35">
      <c r="A140" t="s">
        <v>166</v>
      </c>
      <c r="B140">
        <v>327543</v>
      </c>
      <c r="C140" s="1" t="s">
        <v>28</v>
      </c>
      <c r="D140" s="11">
        <v>1942335.6</v>
      </c>
      <c r="E140" s="1" t="s">
        <v>35</v>
      </c>
      <c r="F140">
        <v>40221</v>
      </c>
      <c r="G140" s="2">
        <v>45991</v>
      </c>
      <c r="H140" s="1" t="s">
        <v>28</v>
      </c>
      <c r="I140" s="1" t="s">
        <v>28</v>
      </c>
      <c r="J140">
        <v>2</v>
      </c>
      <c r="K140" s="1" t="s">
        <v>36</v>
      </c>
      <c r="L140" s="1" t="s">
        <v>28</v>
      </c>
      <c r="O140" s="1" t="s">
        <v>28</v>
      </c>
      <c r="P140" s="1" t="s">
        <v>37</v>
      </c>
      <c r="Q140" s="1" t="s">
        <v>31</v>
      </c>
      <c r="R140" s="1" t="s">
        <v>38</v>
      </c>
      <c r="S140" s="1" t="s">
        <v>39</v>
      </c>
      <c r="T140" s="1" t="s">
        <v>40</v>
      </c>
      <c r="U140" s="1" t="s">
        <v>32</v>
      </c>
      <c r="V140">
        <v>1944733</v>
      </c>
      <c r="W140" s="1" t="s">
        <v>33</v>
      </c>
      <c r="X140" s="1" t="s">
        <v>28</v>
      </c>
      <c r="Y140" s="1" t="s">
        <v>28</v>
      </c>
      <c r="Z140" s="1" t="s">
        <v>28</v>
      </c>
      <c r="AA140" s="1" t="s">
        <v>28</v>
      </c>
    </row>
    <row r="141" spans="1:27" x14ac:dyDescent="0.35">
      <c r="A141" t="s">
        <v>166</v>
      </c>
      <c r="B141">
        <v>327543</v>
      </c>
      <c r="C141" s="1" t="s">
        <v>28</v>
      </c>
      <c r="D141" s="11">
        <v>1814886.33</v>
      </c>
      <c r="E141" s="1" t="s">
        <v>35</v>
      </c>
      <c r="F141">
        <v>40222</v>
      </c>
      <c r="G141" s="2">
        <v>45991</v>
      </c>
      <c r="H141" s="1" t="s">
        <v>28</v>
      </c>
      <c r="I141" s="1" t="s">
        <v>28</v>
      </c>
      <c r="J141">
        <v>2</v>
      </c>
      <c r="K141" s="1" t="s">
        <v>36</v>
      </c>
      <c r="L141" s="1" t="s">
        <v>28</v>
      </c>
      <c r="O141" s="1" t="s">
        <v>28</v>
      </c>
      <c r="P141" s="1" t="s">
        <v>37</v>
      </c>
      <c r="Q141" s="1" t="s">
        <v>31</v>
      </c>
      <c r="R141" s="1" t="s">
        <v>38</v>
      </c>
      <c r="S141" s="1" t="s">
        <v>39</v>
      </c>
      <c r="T141" s="1" t="s">
        <v>40</v>
      </c>
      <c r="U141" s="1" t="s">
        <v>32</v>
      </c>
      <c r="V141">
        <v>1944733</v>
      </c>
      <c r="W141" s="1" t="s">
        <v>33</v>
      </c>
      <c r="X141" s="1" t="s">
        <v>28</v>
      </c>
      <c r="Y141" s="1" t="s">
        <v>28</v>
      </c>
      <c r="Z141" s="1" t="s">
        <v>28</v>
      </c>
      <c r="AA141" s="1" t="s">
        <v>28</v>
      </c>
    </row>
    <row r="142" spans="1:27" x14ac:dyDescent="0.35">
      <c r="A142" t="s">
        <v>166</v>
      </c>
      <c r="B142">
        <v>327543</v>
      </c>
      <c r="C142" s="1" t="s">
        <v>28</v>
      </c>
      <c r="D142" s="11">
        <v>1942958.16</v>
      </c>
      <c r="E142" s="1" t="s">
        <v>35</v>
      </c>
      <c r="F142">
        <v>40223</v>
      </c>
      <c r="G142" s="2">
        <v>45991</v>
      </c>
      <c r="H142" s="1" t="s">
        <v>28</v>
      </c>
      <c r="I142" s="1" t="s">
        <v>28</v>
      </c>
      <c r="J142">
        <v>2</v>
      </c>
      <c r="K142" s="1" t="s">
        <v>36</v>
      </c>
      <c r="L142" s="1" t="s">
        <v>28</v>
      </c>
      <c r="O142" s="1" t="s">
        <v>28</v>
      </c>
      <c r="P142" s="1" t="s">
        <v>37</v>
      </c>
      <c r="Q142" s="1" t="s">
        <v>31</v>
      </c>
      <c r="R142" s="1" t="s">
        <v>38</v>
      </c>
      <c r="S142" s="1" t="s">
        <v>39</v>
      </c>
      <c r="T142" s="1" t="s">
        <v>40</v>
      </c>
      <c r="U142" s="1" t="s">
        <v>32</v>
      </c>
      <c r="V142">
        <v>1944733</v>
      </c>
      <c r="W142" s="1" t="s">
        <v>33</v>
      </c>
      <c r="X142" s="1" t="s">
        <v>28</v>
      </c>
      <c r="Y142" s="1" t="s">
        <v>28</v>
      </c>
      <c r="Z142" s="1" t="s">
        <v>28</v>
      </c>
      <c r="AA142" s="1" t="s">
        <v>28</v>
      </c>
    </row>
    <row r="143" spans="1:27" x14ac:dyDescent="0.35">
      <c r="A143" t="s">
        <v>166</v>
      </c>
      <c r="B143">
        <v>327543</v>
      </c>
      <c r="C143" s="1" t="s">
        <v>28</v>
      </c>
      <c r="D143" s="11">
        <v>1647493.99</v>
      </c>
      <c r="E143" s="1" t="s">
        <v>35</v>
      </c>
      <c r="F143">
        <v>40224</v>
      </c>
      <c r="G143" s="2">
        <v>45991</v>
      </c>
      <c r="H143" s="1" t="s">
        <v>28</v>
      </c>
      <c r="I143" s="1" t="s">
        <v>28</v>
      </c>
      <c r="J143">
        <v>2</v>
      </c>
      <c r="K143" s="1" t="s">
        <v>36</v>
      </c>
      <c r="L143" s="1" t="s">
        <v>28</v>
      </c>
      <c r="O143" s="1" t="s">
        <v>28</v>
      </c>
      <c r="P143" s="1" t="s">
        <v>37</v>
      </c>
      <c r="Q143" s="1" t="s">
        <v>31</v>
      </c>
      <c r="R143" s="1" t="s">
        <v>38</v>
      </c>
      <c r="S143" s="1" t="s">
        <v>39</v>
      </c>
      <c r="T143" s="1" t="s">
        <v>40</v>
      </c>
      <c r="U143" s="1" t="s">
        <v>32</v>
      </c>
      <c r="V143">
        <v>1944733</v>
      </c>
      <c r="W143" s="1" t="s">
        <v>33</v>
      </c>
      <c r="X143" s="1" t="s">
        <v>28</v>
      </c>
      <c r="Y143" s="1" t="s">
        <v>28</v>
      </c>
      <c r="Z143" s="1" t="s">
        <v>28</v>
      </c>
      <c r="AA143" s="1" t="s">
        <v>28</v>
      </c>
    </row>
    <row r="144" spans="1:27" x14ac:dyDescent="0.35">
      <c r="A144" t="s">
        <v>166</v>
      </c>
      <c r="B144">
        <v>327543</v>
      </c>
      <c r="C144" s="1" t="s">
        <v>28</v>
      </c>
      <c r="D144" s="11">
        <v>3497055.7</v>
      </c>
      <c r="E144" s="1" t="s">
        <v>35</v>
      </c>
      <c r="F144">
        <v>40225</v>
      </c>
      <c r="G144" s="2">
        <v>45991</v>
      </c>
      <c r="H144" s="1" t="s">
        <v>28</v>
      </c>
      <c r="I144" s="1" t="s">
        <v>28</v>
      </c>
      <c r="J144">
        <v>2</v>
      </c>
      <c r="K144" s="1" t="s">
        <v>36</v>
      </c>
      <c r="L144" s="1" t="s">
        <v>28</v>
      </c>
      <c r="O144" s="1" t="s">
        <v>28</v>
      </c>
      <c r="P144" s="1" t="s">
        <v>37</v>
      </c>
      <c r="Q144" s="1" t="s">
        <v>31</v>
      </c>
      <c r="R144" s="1" t="s">
        <v>38</v>
      </c>
      <c r="S144" s="1" t="s">
        <v>39</v>
      </c>
      <c r="T144" s="1" t="s">
        <v>40</v>
      </c>
      <c r="U144" s="1" t="s">
        <v>32</v>
      </c>
      <c r="V144">
        <v>1944733</v>
      </c>
      <c r="W144" s="1" t="s">
        <v>33</v>
      </c>
      <c r="X144" s="1" t="s">
        <v>28</v>
      </c>
      <c r="Y144" s="1" t="s">
        <v>28</v>
      </c>
      <c r="Z144" s="1" t="s">
        <v>28</v>
      </c>
      <c r="AA144" s="1" t="s">
        <v>28</v>
      </c>
    </row>
    <row r="145" spans="1:27" x14ac:dyDescent="0.35">
      <c r="A145" t="s">
        <v>166</v>
      </c>
      <c r="B145">
        <v>327543</v>
      </c>
      <c r="C145" s="1" t="s">
        <v>28</v>
      </c>
      <c r="D145" s="11">
        <v>3408903.02</v>
      </c>
      <c r="E145" s="1" t="s">
        <v>35</v>
      </c>
      <c r="F145">
        <v>40226</v>
      </c>
      <c r="G145" s="2">
        <v>45991</v>
      </c>
      <c r="H145" s="1" t="s">
        <v>28</v>
      </c>
      <c r="I145" s="1" t="s">
        <v>28</v>
      </c>
      <c r="J145">
        <v>2</v>
      </c>
      <c r="K145" s="1" t="s">
        <v>36</v>
      </c>
      <c r="L145" s="1" t="s">
        <v>28</v>
      </c>
      <c r="O145" s="1" t="s">
        <v>28</v>
      </c>
      <c r="P145" s="1" t="s">
        <v>37</v>
      </c>
      <c r="Q145" s="1" t="s">
        <v>31</v>
      </c>
      <c r="R145" s="1" t="s">
        <v>38</v>
      </c>
      <c r="S145" s="1" t="s">
        <v>39</v>
      </c>
      <c r="T145" s="1" t="s">
        <v>40</v>
      </c>
      <c r="U145" s="1" t="s">
        <v>32</v>
      </c>
      <c r="V145">
        <v>1944733</v>
      </c>
      <c r="W145" s="1" t="s">
        <v>33</v>
      </c>
      <c r="X145" s="1" t="s">
        <v>28</v>
      </c>
      <c r="Y145" s="1" t="s">
        <v>28</v>
      </c>
      <c r="Z145" s="1" t="s">
        <v>28</v>
      </c>
      <c r="AA145" s="1" t="s">
        <v>28</v>
      </c>
    </row>
    <row r="146" spans="1:27" x14ac:dyDescent="0.35">
      <c r="A146" t="s">
        <v>166</v>
      </c>
      <c r="B146">
        <v>327543</v>
      </c>
      <c r="C146" s="1" t="s">
        <v>28</v>
      </c>
      <c r="D146" s="11">
        <v>1121935.56</v>
      </c>
      <c r="E146" s="1" t="s">
        <v>35</v>
      </c>
      <c r="F146">
        <v>40228</v>
      </c>
      <c r="G146" s="2">
        <v>45991</v>
      </c>
      <c r="H146" s="1" t="s">
        <v>28</v>
      </c>
      <c r="I146" s="1" t="s">
        <v>28</v>
      </c>
      <c r="J146">
        <v>2</v>
      </c>
      <c r="K146" s="1" t="s">
        <v>36</v>
      </c>
      <c r="L146" s="1" t="s">
        <v>28</v>
      </c>
      <c r="O146" s="1" t="s">
        <v>28</v>
      </c>
      <c r="P146" s="1" t="s">
        <v>37</v>
      </c>
      <c r="Q146" s="1" t="s">
        <v>31</v>
      </c>
      <c r="R146" s="1" t="s">
        <v>38</v>
      </c>
      <c r="S146" s="1" t="s">
        <v>39</v>
      </c>
      <c r="T146" s="1" t="s">
        <v>40</v>
      </c>
      <c r="U146" s="1" t="s">
        <v>32</v>
      </c>
      <c r="V146">
        <v>1944733</v>
      </c>
      <c r="W146" s="1" t="s">
        <v>33</v>
      </c>
      <c r="X146" s="1" t="s">
        <v>28</v>
      </c>
      <c r="Y146" s="1" t="s">
        <v>28</v>
      </c>
      <c r="Z146" s="1" t="s">
        <v>28</v>
      </c>
      <c r="AA146" s="1" t="s">
        <v>28</v>
      </c>
    </row>
    <row r="147" spans="1:27" x14ac:dyDescent="0.35">
      <c r="A147" t="s">
        <v>166</v>
      </c>
      <c r="B147">
        <v>327543</v>
      </c>
      <c r="C147" s="1" t="s">
        <v>28</v>
      </c>
      <c r="D147" s="11">
        <v>2813918.17</v>
      </c>
      <c r="E147" s="1" t="s">
        <v>35</v>
      </c>
      <c r="F147">
        <v>40229</v>
      </c>
      <c r="G147" s="2">
        <v>45991</v>
      </c>
      <c r="H147" s="1" t="s">
        <v>28</v>
      </c>
      <c r="I147" s="1" t="s">
        <v>28</v>
      </c>
      <c r="J147">
        <v>2</v>
      </c>
      <c r="K147" s="1" t="s">
        <v>36</v>
      </c>
      <c r="L147" s="1" t="s">
        <v>28</v>
      </c>
      <c r="O147" s="1" t="s">
        <v>28</v>
      </c>
      <c r="P147" s="1" t="s">
        <v>37</v>
      </c>
      <c r="Q147" s="1" t="s">
        <v>31</v>
      </c>
      <c r="R147" s="1" t="s">
        <v>38</v>
      </c>
      <c r="S147" s="1" t="s">
        <v>39</v>
      </c>
      <c r="T147" s="1" t="s">
        <v>40</v>
      </c>
      <c r="U147" s="1" t="s">
        <v>32</v>
      </c>
      <c r="V147">
        <v>1944733</v>
      </c>
      <c r="W147" s="1" t="s">
        <v>33</v>
      </c>
      <c r="X147" s="1" t="s">
        <v>28</v>
      </c>
      <c r="Y147" s="1" t="s">
        <v>28</v>
      </c>
      <c r="Z147" s="1" t="s">
        <v>28</v>
      </c>
      <c r="AA147" s="1" t="s">
        <v>28</v>
      </c>
    </row>
    <row r="148" spans="1:27" x14ac:dyDescent="0.35">
      <c r="A148" t="s">
        <v>166</v>
      </c>
      <c r="B148">
        <v>327543</v>
      </c>
      <c r="C148" s="1" t="s">
        <v>28</v>
      </c>
      <c r="D148" s="11">
        <v>7535855.0700000003</v>
      </c>
      <c r="E148" s="1" t="s">
        <v>35</v>
      </c>
      <c r="F148">
        <v>40230</v>
      </c>
      <c r="G148" s="2">
        <v>45991</v>
      </c>
      <c r="H148" s="1" t="s">
        <v>28</v>
      </c>
      <c r="I148" s="1" t="s">
        <v>28</v>
      </c>
      <c r="J148">
        <v>2</v>
      </c>
      <c r="K148" s="1" t="s">
        <v>36</v>
      </c>
      <c r="L148" s="1" t="s">
        <v>28</v>
      </c>
      <c r="O148" s="1" t="s">
        <v>28</v>
      </c>
      <c r="P148" s="1" t="s">
        <v>37</v>
      </c>
      <c r="Q148" s="1" t="s">
        <v>31</v>
      </c>
      <c r="R148" s="1" t="s">
        <v>38</v>
      </c>
      <c r="S148" s="1" t="s">
        <v>39</v>
      </c>
      <c r="T148" s="1" t="s">
        <v>40</v>
      </c>
      <c r="U148" s="1" t="s">
        <v>32</v>
      </c>
      <c r="V148">
        <v>1944733</v>
      </c>
      <c r="W148" s="1" t="s">
        <v>33</v>
      </c>
      <c r="X148" s="1" t="s">
        <v>28</v>
      </c>
      <c r="Y148" s="1" t="s">
        <v>28</v>
      </c>
      <c r="Z148" s="1" t="s">
        <v>28</v>
      </c>
      <c r="AA148" s="1" t="s">
        <v>28</v>
      </c>
    </row>
    <row r="149" spans="1:27" x14ac:dyDescent="0.35">
      <c r="A149" t="s">
        <v>166</v>
      </c>
      <c r="B149">
        <v>327543</v>
      </c>
      <c r="C149" s="1" t="s">
        <v>28</v>
      </c>
      <c r="D149" s="11">
        <v>13803193.27</v>
      </c>
      <c r="E149" s="1" t="s">
        <v>35</v>
      </c>
      <c r="F149">
        <v>40231</v>
      </c>
      <c r="G149" s="2">
        <v>45991</v>
      </c>
      <c r="H149" s="1" t="s">
        <v>28</v>
      </c>
      <c r="I149" s="1" t="s">
        <v>28</v>
      </c>
      <c r="J149">
        <v>2</v>
      </c>
      <c r="K149" s="1" t="s">
        <v>36</v>
      </c>
      <c r="L149" s="1" t="s">
        <v>28</v>
      </c>
      <c r="O149" s="1" t="s">
        <v>28</v>
      </c>
      <c r="P149" s="1" t="s">
        <v>37</v>
      </c>
      <c r="Q149" s="1" t="s">
        <v>31</v>
      </c>
      <c r="R149" s="1" t="s">
        <v>38</v>
      </c>
      <c r="S149" s="1" t="s">
        <v>39</v>
      </c>
      <c r="T149" s="1" t="s">
        <v>40</v>
      </c>
      <c r="U149" s="1" t="s">
        <v>32</v>
      </c>
      <c r="V149">
        <v>1944733</v>
      </c>
      <c r="W149" s="1" t="s">
        <v>33</v>
      </c>
      <c r="X149" s="1" t="s">
        <v>28</v>
      </c>
      <c r="Y149" s="1" t="s">
        <v>28</v>
      </c>
      <c r="Z149" s="1" t="s">
        <v>28</v>
      </c>
      <c r="AA149" s="1" t="s">
        <v>28</v>
      </c>
    </row>
    <row r="150" spans="1:27" x14ac:dyDescent="0.35">
      <c r="A150" t="s">
        <v>166</v>
      </c>
      <c r="B150">
        <v>327543</v>
      </c>
      <c r="C150" s="1" t="s">
        <v>28</v>
      </c>
      <c r="D150" s="11">
        <v>30388485.690000001</v>
      </c>
      <c r="E150" s="1" t="s">
        <v>35</v>
      </c>
      <c r="F150">
        <v>40232</v>
      </c>
      <c r="G150" s="2">
        <v>45991</v>
      </c>
      <c r="H150" s="1" t="s">
        <v>28</v>
      </c>
      <c r="I150" s="1" t="s">
        <v>28</v>
      </c>
      <c r="J150">
        <v>2</v>
      </c>
      <c r="K150" s="1" t="s">
        <v>36</v>
      </c>
      <c r="L150" s="1" t="s">
        <v>28</v>
      </c>
      <c r="O150" s="1" t="s">
        <v>28</v>
      </c>
      <c r="P150" s="1" t="s">
        <v>37</v>
      </c>
      <c r="Q150" s="1" t="s">
        <v>31</v>
      </c>
      <c r="R150" s="1" t="s">
        <v>38</v>
      </c>
      <c r="S150" s="1" t="s">
        <v>41</v>
      </c>
      <c r="T150" s="1" t="s">
        <v>40</v>
      </c>
      <c r="U150" s="1" t="s">
        <v>32</v>
      </c>
      <c r="V150">
        <v>1944733</v>
      </c>
      <c r="W150" s="1" t="s">
        <v>33</v>
      </c>
      <c r="X150" s="1" t="s">
        <v>28</v>
      </c>
      <c r="Y150" s="1" t="s">
        <v>28</v>
      </c>
      <c r="Z150" s="1" t="s">
        <v>28</v>
      </c>
      <c r="AA150" s="1" t="s">
        <v>28</v>
      </c>
    </row>
    <row r="151" spans="1:27" x14ac:dyDescent="0.35">
      <c r="A151" t="s">
        <v>166</v>
      </c>
      <c r="B151">
        <v>327543</v>
      </c>
      <c r="C151" s="1" t="s">
        <v>28</v>
      </c>
      <c r="D151" s="11">
        <v>12074504.560000001</v>
      </c>
      <c r="E151" s="1" t="s">
        <v>35</v>
      </c>
      <c r="F151">
        <v>40233</v>
      </c>
      <c r="G151" s="2">
        <v>45991</v>
      </c>
      <c r="H151" s="1" t="s">
        <v>28</v>
      </c>
      <c r="I151" s="1" t="s">
        <v>28</v>
      </c>
      <c r="J151">
        <v>2</v>
      </c>
      <c r="K151" s="1" t="s">
        <v>36</v>
      </c>
      <c r="L151" s="1" t="s">
        <v>28</v>
      </c>
      <c r="O151" s="1" t="s">
        <v>28</v>
      </c>
      <c r="P151" s="1" t="s">
        <v>37</v>
      </c>
      <c r="Q151" s="1" t="s">
        <v>31</v>
      </c>
      <c r="R151" s="1" t="s">
        <v>38</v>
      </c>
      <c r="S151" s="1" t="s">
        <v>42</v>
      </c>
      <c r="T151" s="1" t="s">
        <v>40</v>
      </c>
      <c r="U151" s="1" t="s">
        <v>32</v>
      </c>
      <c r="V151">
        <v>1944733</v>
      </c>
      <c r="W151" s="1" t="s">
        <v>33</v>
      </c>
      <c r="X151" s="1" t="s">
        <v>28</v>
      </c>
      <c r="Y151" s="1" t="s">
        <v>28</v>
      </c>
      <c r="Z151" s="1" t="s">
        <v>28</v>
      </c>
      <c r="AA151" s="1" t="s">
        <v>28</v>
      </c>
    </row>
    <row r="152" spans="1:27" x14ac:dyDescent="0.35">
      <c r="A152" t="s">
        <v>166</v>
      </c>
      <c r="B152">
        <v>327543</v>
      </c>
      <c r="C152" s="1" t="s">
        <v>28</v>
      </c>
      <c r="D152" s="11">
        <v>3435775.22</v>
      </c>
      <c r="E152" s="1" t="s">
        <v>35</v>
      </c>
      <c r="F152">
        <v>40234</v>
      </c>
      <c r="G152" s="2">
        <v>45991</v>
      </c>
      <c r="H152" s="1" t="s">
        <v>28</v>
      </c>
      <c r="I152" s="1" t="s">
        <v>28</v>
      </c>
      <c r="J152">
        <v>2</v>
      </c>
      <c r="K152" s="1" t="s">
        <v>36</v>
      </c>
      <c r="L152" s="1" t="s">
        <v>28</v>
      </c>
      <c r="O152" s="1" t="s">
        <v>28</v>
      </c>
      <c r="P152" s="1" t="s">
        <v>37</v>
      </c>
      <c r="Q152" s="1" t="s">
        <v>31</v>
      </c>
      <c r="R152" s="1" t="s">
        <v>38</v>
      </c>
      <c r="S152" s="1" t="s">
        <v>42</v>
      </c>
      <c r="T152" s="1" t="s">
        <v>40</v>
      </c>
      <c r="U152" s="1" t="s">
        <v>32</v>
      </c>
      <c r="V152">
        <v>1944733</v>
      </c>
      <c r="W152" s="1" t="s">
        <v>33</v>
      </c>
      <c r="X152" s="1" t="s">
        <v>28</v>
      </c>
      <c r="Y152" s="1" t="s">
        <v>28</v>
      </c>
      <c r="Z152" s="1" t="s">
        <v>28</v>
      </c>
      <c r="AA152" s="1" t="s">
        <v>28</v>
      </c>
    </row>
    <row r="153" spans="1:27" x14ac:dyDescent="0.35">
      <c r="A153" t="s">
        <v>166</v>
      </c>
      <c r="B153">
        <v>327543</v>
      </c>
      <c r="C153" s="1" t="s">
        <v>28</v>
      </c>
      <c r="D153" s="11">
        <v>12004615.07</v>
      </c>
      <c r="E153" s="1" t="s">
        <v>35</v>
      </c>
      <c r="F153">
        <v>40235</v>
      </c>
      <c r="G153" s="2">
        <v>45991</v>
      </c>
      <c r="H153" s="1" t="s">
        <v>28</v>
      </c>
      <c r="I153" s="1" t="s">
        <v>28</v>
      </c>
      <c r="J153">
        <v>2</v>
      </c>
      <c r="K153" s="1" t="s">
        <v>36</v>
      </c>
      <c r="L153" s="1" t="s">
        <v>28</v>
      </c>
      <c r="O153" s="1" t="s">
        <v>28</v>
      </c>
      <c r="P153" s="1" t="s">
        <v>37</v>
      </c>
      <c r="Q153" s="1" t="s">
        <v>31</v>
      </c>
      <c r="R153" s="1" t="s">
        <v>38</v>
      </c>
      <c r="S153" s="1" t="s">
        <v>43</v>
      </c>
      <c r="T153" s="1" t="s">
        <v>40</v>
      </c>
      <c r="U153" s="1" t="s">
        <v>32</v>
      </c>
      <c r="V153">
        <v>1944733</v>
      </c>
      <c r="W153" s="1" t="s">
        <v>33</v>
      </c>
      <c r="X153" s="1" t="s">
        <v>28</v>
      </c>
      <c r="Y153" s="1" t="s">
        <v>28</v>
      </c>
      <c r="Z153" s="1" t="s">
        <v>28</v>
      </c>
      <c r="AA153" s="1" t="s">
        <v>28</v>
      </c>
    </row>
    <row r="154" spans="1:27" x14ac:dyDescent="0.35">
      <c r="A154" t="s">
        <v>166</v>
      </c>
      <c r="B154">
        <v>327543</v>
      </c>
      <c r="C154" s="1" t="s">
        <v>28</v>
      </c>
      <c r="D154" s="11">
        <v>6820389.5999999996</v>
      </c>
      <c r="E154" s="1" t="s">
        <v>35</v>
      </c>
      <c r="F154">
        <v>40236</v>
      </c>
      <c r="G154" s="2">
        <v>45991</v>
      </c>
      <c r="H154" s="1" t="s">
        <v>28</v>
      </c>
      <c r="I154" s="1" t="s">
        <v>28</v>
      </c>
      <c r="J154">
        <v>2</v>
      </c>
      <c r="K154" s="1" t="s">
        <v>36</v>
      </c>
      <c r="L154" s="1" t="s">
        <v>28</v>
      </c>
      <c r="O154" s="1" t="s">
        <v>28</v>
      </c>
      <c r="P154" s="1" t="s">
        <v>37</v>
      </c>
      <c r="Q154" s="1" t="s">
        <v>31</v>
      </c>
      <c r="R154" s="1" t="s">
        <v>38</v>
      </c>
      <c r="S154" s="1" t="s">
        <v>43</v>
      </c>
      <c r="T154" s="1" t="s">
        <v>40</v>
      </c>
      <c r="U154" s="1" t="s">
        <v>32</v>
      </c>
      <c r="V154">
        <v>1944733</v>
      </c>
      <c r="W154" s="1" t="s">
        <v>33</v>
      </c>
      <c r="X154" s="1" t="s">
        <v>28</v>
      </c>
      <c r="Y154" s="1" t="s">
        <v>28</v>
      </c>
      <c r="Z154" s="1" t="s">
        <v>28</v>
      </c>
      <c r="AA154" s="1" t="s">
        <v>28</v>
      </c>
    </row>
    <row r="155" spans="1:27" x14ac:dyDescent="0.35">
      <c r="A155" t="s">
        <v>166</v>
      </c>
      <c r="B155">
        <v>439097</v>
      </c>
      <c r="C155" s="1" t="s">
        <v>28</v>
      </c>
      <c r="D155" s="11">
        <v>385028.19</v>
      </c>
      <c r="E155" s="1" t="s">
        <v>35</v>
      </c>
      <c r="F155">
        <v>40237</v>
      </c>
      <c r="G155" s="2">
        <v>45991</v>
      </c>
      <c r="H155" s="1" t="s">
        <v>28</v>
      </c>
      <c r="I155" s="1" t="s">
        <v>28</v>
      </c>
      <c r="J155">
        <v>3</v>
      </c>
      <c r="K155" s="1" t="s">
        <v>36</v>
      </c>
      <c r="L155" s="1" t="s">
        <v>28</v>
      </c>
      <c r="O155" s="1" t="s">
        <v>28</v>
      </c>
      <c r="P155" s="1" t="s">
        <v>44</v>
      </c>
      <c r="Q155" s="1" t="s">
        <v>31</v>
      </c>
      <c r="R155" s="1" t="s">
        <v>38</v>
      </c>
      <c r="S155" s="1" t="s">
        <v>45</v>
      </c>
      <c r="T155" s="1" t="s">
        <v>40</v>
      </c>
      <c r="U155" s="1" t="s">
        <v>32</v>
      </c>
      <c r="V155">
        <v>1944733</v>
      </c>
      <c r="W155" s="1" t="s">
        <v>33</v>
      </c>
      <c r="X155" s="1" t="s">
        <v>28</v>
      </c>
      <c r="Y155" s="1" t="s">
        <v>28</v>
      </c>
      <c r="Z155" s="1" t="s">
        <v>28</v>
      </c>
      <c r="AA155" s="1" t="s">
        <v>28</v>
      </c>
    </row>
    <row r="156" spans="1:27" x14ac:dyDescent="0.35">
      <c r="A156" t="s">
        <v>166</v>
      </c>
      <c r="B156">
        <v>327543</v>
      </c>
      <c r="C156" s="1" t="s">
        <v>28</v>
      </c>
      <c r="D156" s="11">
        <v>2301131.5699999998</v>
      </c>
      <c r="E156" s="1" t="s">
        <v>35</v>
      </c>
      <c r="F156">
        <v>40237</v>
      </c>
      <c r="G156" s="2">
        <v>45991</v>
      </c>
      <c r="H156" s="1" t="s">
        <v>28</v>
      </c>
      <c r="I156" s="1" t="s">
        <v>28</v>
      </c>
      <c r="J156">
        <v>4</v>
      </c>
      <c r="K156" s="1" t="s">
        <v>36</v>
      </c>
      <c r="L156" s="1" t="s">
        <v>28</v>
      </c>
      <c r="O156" s="1" t="s">
        <v>28</v>
      </c>
      <c r="P156" s="1" t="s">
        <v>37</v>
      </c>
      <c r="Q156" s="1" t="s">
        <v>31</v>
      </c>
      <c r="R156" s="1" t="s">
        <v>38</v>
      </c>
      <c r="S156" s="1" t="s">
        <v>45</v>
      </c>
      <c r="T156" s="1" t="s">
        <v>40</v>
      </c>
      <c r="U156" s="1" t="s">
        <v>32</v>
      </c>
      <c r="V156">
        <v>1944733</v>
      </c>
      <c r="W156" s="1" t="s">
        <v>33</v>
      </c>
      <c r="X156" s="1" t="s">
        <v>28</v>
      </c>
      <c r="Y156" s="1" t="s">
        <v>28</v>
      </c>
      <c r="Z156" s="1" t="s">
        <v>28</v>
      </c>
      <c r="AA156" s="1" t="s">
        <v>28</v>
      </c>
    </row>
    <row r="157" spans="1:27" x14ac:dyDescent="0.35">
      <c r="A157" t="s">
        <v>166</v>
      </c>
      <c r="B157">
        <v>439097</v>
      </c>
      <c r="C157" s="1" t="s">
        <v>28</v>
      </c>
      <c r="D157" s="11">
        <v>957626.86</v>
      </c>
      <c r="E157" s="1" t="s">
        <v>35</v>
      </c>
      <c r="F157">
        <v>40239</v>
      </c>
      <c r="G157" s="2">
        <v>45991</v>
      </c>
      <c r="H157" s="1" t="s">
        <v>28</v>
      </c>
      <c r="I157" s="1" t="s">
        <v>28</v>
      </c>
      <c r="J157">
        <v>3</v>
      </c>
      <c r="K157" s="1" t="s">
        <v>36</v>
      </c>
      <c r="L157" s="1" t="s">
        <v>28</v>
      </c>
      <c r="O157" s="1" t="s">
        <v>28</v>
      </c>
      <c r="P157" s="1" t="s">
        <v>44</v>
      </c>
      <c r="Q157" s="1" t="s">
        <v>31</v>
      </c>
      <c r="R157" s="1" t="s">
        <v>38</v>
      </c>
      <c r="S157" s="1" t="s">
        <v>45</v>
      </c>
      <c r="T157" s="1" t="s">
        <v>40</v>
      </c>
      <c r="U157" s="1" t="s">
        <v>32</v>
      </c>
      <c r="V157">
        <v>1944733</v>
      </c>
      <c r="W157" s="1" t="s">
        <v>33</v>
      </c>
      <c r="X157" s="1" t="s">
        <v>28</v>
      </c>
      <c r="Y157" s="1" t="s">
        <v>28</v>
      </c>
      <c r="Z157" s="1" t="s">
        <v>28</v>
      </c>
      <c r="AA157" s="1" t="s">
        <v>28</v>
      </c>
    </row>
    <row r="158" spans="1:27" x14ac:dyDescent="0.35">
      <c r="A158" t="s">
        <v>166</v>
      </c>
      <c r="B158">
        <v>327543</v>
      </c>
      <c r="C158" s="1" t="s">
        <v>28</v>
      </c>
      <c r="D158" s="11">
        <v>5845472.2400000002</v>
      </c>
      <c r="E158" s="1" t="s">
        <v>35</v>
      </c>
      <c r="F158">
        <v>40239</v>
      </c>
      <c r="G158" s="2">
        <v>45991</v>
      </c>
      <c r="H158" s="1" t="s">
        <v>28</v>
      </c>
      <c r="I158" s="1" t="s">
        <v>28</v>
      </c>
      <c r="J158">
        <v>4</v>
      </c>
      <c r="K158" s="1" t="s">
        <v>36</v>
      </c>
      <c r="L158" s="1" t="s">
        <v>28</v>
      </c>
      <c r="O158" s="1" t="s">
        <v>28</v>
      </c>
      <c r="P158" s="1" t="s">
        <v>37</v>
      </c>
      <c r="Q158" s="1" t="s">
        <v>31</v>
      </c>
      <c r="R158" s="1" t="s">
        <v>38</v>
      </c>
      <c r="S158" s="1" t="s">
        <v>45</v>
      </c>
      <c r="T158" s="1" t="s">
        <v>40</v>
      </c>
      <c r="U158" s="1" t="s">
        <v>32</v>
      </c>
      <c r="V158">
        <v>1944733</v>
      </c>
      <c r="W158" s="1" t="s">
        <v>33</v>
      </c>
      <c r="X158" s="1" t="s">
        <v>28</v>
      </c>
      <c r="Y158" s="1" t="s">
        <v>28</v>
      </c>
      <c r="Z158" s="1" t="s">
        <v>28</v>
      </c>
      <c r="AA158" s="1" t="s">
        <v>28</v>
      </c>
    </row>
    <row r="159" spans="1:27" x14ac:dyDescent="0.35">
      <c r="A159" t="s">
        <v>166</v>
      </c>
      <c r="B159">
        <v>439097</v>
      </c>
      <c r="C159" s="1" t="s">
        <v>28</v>
      </c>
      <c r="D159" s="11">
        <v>1671022.55</v>
      </c>
      <c r="E159" s="1" t="s">
        <v>35</v>
      </c>
      <c r="F159">
        <v>40240</v>
      </c>
      <c r="G159" s="2">
        <v>45991</v>
      </c>
      <c r="H159" s="1" t="s">
        <v>28</v>
      </c>
      <c r="I159" s="1" t="s">
        <v>28</v>
      </c>
      <c r="J159">
        <v>3</v>
      </c>
      <c r="K159" s="1" t="s">
        <v>36</v>
      </c>
      <c r="L159" s="1" t="s">
        <v>28</v>
      </c>
      <c r="O159" s="1" t="s">
        <v>28</v>
      </c>
      <c r="P159" s="1" t="s">
        <v>44</v>
      </c>
      <c r="Q159" s="1" t="s">
        <v>31</v>
      </c>
      <c r="R159" s="1" t="s">
        <v>38</v>
      </c>
      <c r="S159" s="1" t="s">
        <v>45</v>
      </c>
      <c r="T159" s="1" t="s">
        <v>40</v>
      </c>
      <c r="U159" s="1" t="s">
        <v>32</v>
      </c>
      <c r="V159">
        <v>1944733</v>
      </c>
      <c r="W159" s="1" t="s">
        <v>33</v>
      </c>
      <c r="X159" s="1" t="s">
        <v>28</v>
      </c>
      <c r="Y159" s="1" t="s">
        <v>28</v>
      </c>
      <c r="Z159" s="1" t="s">
        <v>28</v>
      </c>
      <c r="AA159" s="1" t="s">
        <v>28</v>
      </c>
    </row>
    <row r="160" spans="1:27" x14ac:dyDescent="0.35">
      <c r="A160" t="s">
        <v>166</v>
      </c>
      <c r="B160">
        <v>327543</v>
      </c>
      <c r="C160" s="1" t="s">
        <v>28</v>
      </c>
      <c r="D160" s="11">
        <v>10057894.85</v>
      </c>
      <c r="E160" s="1" t="s">
        <v>35</v>
      </c>
      <c r="F160">
        <v>40240</v>
      </c>
      <c r="G160" s="2">
        <v>45991</v>
      </c>
      <c r="H160" s="1" t="s">
        <v>28</v>
      </c>
      <c r="I160" s="1" t="s">
        <v>28</v>
      </c>
      <c r="J160">
        <v>4</v>
      </c>
      <c r="K160" s="1" t="s">
        <v>36</v>
      </c>
      <c r="L160" s="1" t="s">
        <v>28</v>
      </c>
      <c r="O160" s="1" t="s">
        <v>28</v>
      </c>
      <c r="P160" s="1" t="s">
        <v>37</v>
      </c>
      <c r="Q160" s="1" t="s">
        <v>31</v>
      </c>
      <c r="R160" s="1" t="s">
        <v>38</v>
      </c>
      <c r="S160" s="1" t="s">
        <v>45</v>
      </c>
      <c r="T160" s="1" t="s">
        <v>40</v>
      </c>
      <c r="U160" s="1" t="s">
        <v>32</v>
      </c>
      <c r="V160">
        <v>1944733</v>
      </c>
      <c r="W160" s="1" t="s">
        <v>33</v>
      </c>
      <c r="X160" s="1" t="s">
        <v>28</v>
      </c>
      <c r="Y160" s="1" t="s">
        <v>28</v>
      </c>
      <c r="Z160" s="1" t="s">
        <v>28</v>
      </c>
      <c r="AA160" s="1" t="s">
        <v>28</v>
      </c>
    </row>
    <row r="161" spans="1:27" x14ac:dyDescent="0.35">
      <c r="A161" t="s">
        <v>166</v>
      </c>
      <c r="B161">
        <v>439097</v>
      </c>
      <c r="C161" s="1" t="s">
        <v>28</v>
      </c>
      <c r="D161" s="11">
        <v>2527753.54</v>
      </c>
      <c r="E161" s="1" t="s">
        <v>35</v>
      </c>
      <c r="F161">
        <v>40241</v>
      </c>
      <c r="G161" s="2">
        <v>45991</v>
      </c>
      <c r="H161" s="1" t="s">
        <v>28</v>
      </c>
      <c r="I161" s="1" t="s">
        <v>28</v>
      </c>
      <c r="J161">
        <v>3</v>
      </c>
      <c r="K161" s="1" t="s">
        <v>36</v>
      </c>
      <c r="L161" s="1" t="s">
        <v>28</v>
      </c>
      <c r="O161" s="1" t="s">
        <v>28</v>
      </c>
      <c r="P161" s="1" t="s">
        <v>44</v>
      </c>
      <c r="Q161" s="1" t="s">
        <v>31</v>
      </c>
      <c r="R161" s="1" t="s">
        <v>38</v>
      </c>
      <c r="S161" s="1" t="s">
        <v>45</v>
      </c>
      <c r="T161" s="1" t="s">
        <v>40</v>
      </c>
      <c r="U161" s="1" t="s">
        <v>32</v>
      </c>
      <c r="V161">
        <v>1944733</v>
      </c>
      <c r="W161" s="1" t="s">
        <v>33</v>
      </c>
      <c r="X161" s="1" t="s">
        <v>28</v>
      </c>
      <c r="Y161" s="1" t="s">
        <v>28</v>
      </c>
      <c r="Z161" s="1" t="s">
        <v>28</v>
      </c>
      <c r="AA161" s="1" t="s">
        <v>28</v>
      </c>
    </row>
    <row r="162" spans="1:27" x14ac:dyDescent="0.35">
      <c r="A162" t="s">
        <v>166</v>
      </c>
      <c r="B162">
        <v>327543</v>
      </c>
      <c r="C162" s="1" t="s">
        <v>28</v>
      </c>
      <c r="D162" s="11">
        <v>15495908.51</v>
      </c>
      <c r="E162" s="1" t="s">
        <v>35</v>
      </c>
      <c r="F162">
        <v>40241</v>
      </c>
      <c r="G162" s="2">
        <v>45991</v>
      </c>
      <c r="H162" s="1" t="s">
        <v>28</v>
      </c>
      <c r="I162" s="1" t="s">
        <v>28</v>
      </c>
      <c r="J162">
        <v>4</v>
      </c>
      <c r="K162" s="1" t="s">
        <v>36</v>
      </c>
      <c r="L162" s="1" t="s">
        <v>28</v>
      </c>
      <c r="O162" s="1" t="s">
        <v>28</v>
      </c>
      <c r="P162" s="1" t="s">
        <v>37</v>
      </c>
      <c r="Q162" s="1" t="s">
        <v>31</v>
      </c>
      <c r="R162" s="1" t="s">
        <v>38</v>
      </c>
      <c r="S162" s="1" t="s">
        <v>45</v>
      </c>
      <c r="T162" s="1" t="s">
        <v>40</v>
      </c>
      <c r="U162" s="1" t="s">
        <v>32</v>
      </c>
      <c r="V162">
        <v>1944733</v>
      </c>
      <c r="W162" s="1" t="s">
        <v>33</v>
      </c>
      <c r="X162" s="1" t="s">
        <v>28</v>
      </c>
      <c r="Y162" s="1" t="s">
        <v>28</v>
      </c>
      <c r="Z162" s="1" t="s">
        <v>28</v>
      </c>
      <c r="AA162" s="1" t="s">
        <v>28</v>
      </c>
    </row>
    <row r="163" spans="1:27" x14ac:dyDescent="0.35">
      <c r="A163" t="s">
        <v>166</v>
      </c>
      <c r="B163">
        <v>439097</v>
      </c>
      <c r="C163" s="1" t="s">
        <v>28</v>
      </c>
      <c r="D163" s="11">
        <v>4643122.3600000003</v>
      </c>
      <c r="E163" s="1" t="s">
        <v>35</v>
      </c>
      <c r="F163">
        <v>40242</v>
      </c>
      <c r="G163" s="2">
        <v>45991</v>
      </c>
      <c r="H163" s="1" t="s">
        <v>28</v>
      </c>
      <c r="I163" s="1" t="s">
        <v>28</v>
      </c>
      <c r="J163">
        <v>3</v>
      </c>
      <c r="K163" s="1" t="s">
        <v>36</v>
      </c>
      <c r="L163" s="1" t="s">
        <v>28</v>
      </c>
      <c r="O163" s="1" t="s">
        <v>28</v>
      </c>
      <c r="P163" s="1" t="s">
        <v>44</v>
      </c>
      <c r="Q163" s="1" t="s">
        <v>31</v>
      </c>
      <c r="R163" s="1" t="s">
        <v>38</v>
      </c>
      <c r="S163" s="1" t="s">
        <v>42</v>
      </c>
      <c r="T163" s="1" t="s">
        <v>40</v>
      </c>
      <c r="U163" s="1" t="s">
        <v>32</v>
      </c>
      <c r="V163">
        <v>1944733</v>
      </c>
      <c r="W163" s="1" t="s">
        <v>33</v>
      </c>
      <c r="X163" s="1" t="s">
        <v>28</v>
      </c>
      <c r="Y163" s="1" t="s">
        <v>28</v>
      </c>
      <c r="Z163" s="1" t="s">
        <v>28</v>
      </c>
      <c r="AA163" s="1" t="s">
        <v>28</v>
      </c>
    </row>
    <row r="164" spans="1:27" x14ac:dyDescent="0.35">
      <c r="A164" t="s">
        <v>166</v>
      </c>
      <c r="B164">
        <v>327543</v>
      </c>
      <c r="C164" s="1" t="s">
        <v>28</v>
      </c>
      <c r="D164" s="11">
        <v>30457801.379999999</v>
      </c>
      <c r="E164" s="1" t="s">
        <v>35</v>
      </c>
      <c r="F164">
        <v>40242</v>
      </c>
      <c r="G164" s="2">
        <v>45991</v>
      </c>
      <c r="H164" s="1" t="s">
        <v>28</v>
      </c>
      <c r="I164" s="1" t="s">
        <v>28</v>
      </c>
      <c r="J164">
        <v>4</v>
      </c>
      <c r="K164" s="1" t="s">
        <v>36</v>
      </c>
      <c r="L164" s="1" t="s">
        <v>28</v>
      </c>
      <c r="O164" s="1" t="s">
        <v>28</v>
      </c>
      <c r="P164" s="1" t="s">
        <v>37</v>
      </c>
      <c r="Q164" s="1" t="s">
        <v>31</v>
      </c>
      <c r="R164" s="1" t="s">
        <v>38</v>
      </c>
      <c r="S164" s="1" t="s">
        <v>42</v>
      </c>
      <c r="T164" s="1" t="s">
        <v>40</v>
      </c>
      <c r="U164" s="1" t="s">
        <v>32</v>
      </c>
      <c r="V164">
        <v>1944733</v>
      </c>
      <c r="W164" s="1" t="s">
        <v>33</v>
      </c>
      <c r="X164" s="1" t="s">
        <v>28</v>
      </c>
      <c r="Y164" s="1" t="s">
        <v>28</v>
      </c>
      <c r="Z164" s="1" t="s">
        <v>28</v>
      </c>
      <c r="AA164" s="1" t="s">
        <v>28</v>
      </c>
    </row>
    <row r="165" spans="1:27" x14ac:dyDescent="0.35">
      <c r="A165" t="s">
        <v>166</v>
      </c>
      <c r="B165">
        <v>439097</v>
      </c>
      <c r="C165" s="1" t="s">
        <v>28</v>
      </c>
      <c r="D165" s="11">
        <v>6755036.3200000003</v>
      </c>
      <c r="E165" s="1" t="s">
        <v>35</v>
      </c>
      <c r="F165">
        <v>40243</v>
      </c>
      <c r="G165" s="2">
        <v>45991</v>
      </c>
      <c r="H165" s="1" t="s">
        <v>28</v>
      </c>
      <c r="I165" s="1" t="s">
        <v>28</v>
      </c>
      <c r="J165">
        <v>5</v>
      </c>
      <c r="K165" s="1" t="s">
        <v>36</v>
      </c>
      <c r="L165" s="1" t="s">
        <v>28</v>
      </c>
      <c r="O165" s="1" t="s">
        <v>28</v>
      </c>
      <c r="P165" s="1" t="s">
        <v>44</v>
      </c>
      <c r="Q165" s="1" t="s">
        <v>31</v>
      </c>
      <c r="R165" s="1" t="s">
        <v>38</v>
      </c>
      <c r="S165" s="1" t="s">
        <v>45</v>
      </c>
      <c r="T165" s="1" t="s">
        <v>40</v>
      </c>
      <c r="U165" s="1" t="s">
        <v>32</v>
      </c>
      <c r="V165">
        <v>1944733</v>
      </c>
      <c r="W165" s="1" t="s">
        <v>33</v>
      </c>
      <c r="X165" s="1" t="s">
        <v>28</v>
      </c>
      <c r="Y165" s="1" t="s">
        <v>28</v>
      </c>
      <c r="Z165" s="1" t="s">
        <v>28</v>
      </c>
      <c r="AA165" s="1" t="s">
        <v>28</v>
      </c>
    </row>
    <row r="166" spans="1:27" x14ac:dyDescent="0.35">
      <c r="A166" t="s">
        <v>167</v>
      </c>
      <c r="B166">
        <v>438068</v>
      </c>
      <c r="C166" s="1" t="s">
        <v>28</v>
      </c>
      <c r="D166" s="11">
        <v>4223717.78</v>
      </c>
      <c r="E166" s="1" t="s">
        <v>35</v>
      </c>
      <c r="F166">
        <v>40243</v>
      </c>
      <c r="G166" s="2">
        <v>45991</v>
      </c>
      <c r="H166" s="1" t="s">
        <v>28</v>
      </c>
      <c r="I166" s="1" t="s">
        <v>28</v>
      </c>
      <c r="J166">
        <v>6</v>
      </c>
      <c r="K166" s="1" t="s">
        <v>36</v>
      </c>
      <c r="L166" s="1" t="s">
        <v>28</v>
      </c>
      <c r="O166" s="1" t="s">
        <v>28</v>
      </c>
      <c r="P166" s="1" t="s">
        <v>46</v>
      </c>
      <c r="Q166" s="1" t="s">
        <v>31</v>
      </c>
      <c r="R166" s="1" t="s">
        <v>38</v>
      </c>
      <c r="S166" s="1" t="s">
        <v>45</v>
      </c>
      <c r="T166" s="1" t="s">
        <v>40</v>
      </c>
      <c r="U166" s="1" t="s">
        <v>32</v>
      </c>
      <c r="V166">
        <v>1944733</v>
      </c>
      <c r="W166" s="1" t="s">
        <v>33</v>
      </c>
      <c r="X166" s="1" t="s">
        <v>28</v>
      </c>
      <c r="Y166" s="1" t="s">
        <v>28</v>
      </c>
      <c r="Z166" s="1" t="s">
        <v>28</v>
      </c>
      <c r="AA166" s="1" t="s">
        <v>28</v>
      </c>
    </row>
    <row r="167" spans="1:27" x14ac:dyDescent="0.35">
      <c r="A167" t="s">
        <v>166</v>
      </c>
      <c r="B167">
        <v>327543</v>
      </c>
      <c r="C167" s="1" t="s">
        <v>28</v>
      </c>
      <c r="D167" s="11">
        <v>48339818.07</v>
      </c>
      <c r="E167" s="1" t="s">
        <v>35</v>
      </c>
      <c r="F167">
        <v>40243</v>
      </c>
      <c r="G167" s="2">
        <v>45991</v>
      </c>
      <c r="H167" s="1" t="s">
        <v>28</v>
      </c>
      <c r="I167" s="1" t="s">
        <v>28</v>
      </c>
      <c r="J167">
        <v>7</v>
      </c>
      <c r="K167" s="1" t="s">
        <v>36</v>
      </c>
      <c r="L167" s="1" t="s">
        <v>28</v>
      </c>
      <c r="O167" s="1" t="s">
        <v>28</v>
      </c>
      <c r="P167" s="1" t="s">
        <v>37</v>
      </c>
      <c r="Q167" s="1" t="s">
        <v>31</v>
      </c>
      <c r="R167" s="1" t="s">
        <v>38</v>
      </c>
      <c r="S167" s="1" t="s">
        <v>45</v>
      </c>
      <c r="T167" s="1" t="s">
        <v>40</v>
      </c>
      <c r="U167" s="1" t="s">
        <v>32</v>
      </c>
      <c r="V167">
        <v>1944733</v>
      </c>
      <c r="W167" s="1" t="s">
        <v>33</v>
      </c>
      <c r="X167" s="1" t="s">
        <v>28</v>
      </c>
      <c r="Y167" s="1" t="s">
        <v>28</v>
      </c>
      <c r="Z167" s="1" t="s">
        <v>28</v>
      </c>
      <c r="AA167" s="1" t="s">
        <v>28</v>
      </c>
    </row>
    <row r="168" spans="1:27" x14ac:dyDescent="0.35">
      <c r="A168" t="s">
        <v>166</v>
      </c>
      <c r="B168">
        <v>439096</v>
      </c>
      <c r="C168" s="1" t="s">
        <v>28</v>
      </c>
      <c r="D168" s="11">
        <v>1303833.6299999999</v>
      </c>
      <c r="E168" s="1" t="s">
        <v>35</v>
      </c>
      <c r="F168">
        <v>40243</v>
      </c>
      <c r="G168" s="2">
        <v>45991</v>
      </c>
      <c r="H168" s="1" t="s">
        <v>28</v>
      </c>
      <c r="I168" s="1" t="s">
        <v>28</v>
      </c>
      <c r="J168">
        <v>8</v>
      </c>
      <c r="K168" s="1" t="s">
        <v>36</v>
      </c>
      <c r="L168" s="1" t="s">
        <v>28</v>
      </c>
      <c r="O168" s="1" t="s">
        <v>28</v>
      </c>
      <c r="P168" s="1" t="s">
        <v>47</v>
      </c>
      <c r="Q168" s="1" t="s">
        <v>31</v>
      </c>
      <c r="R168" s="1" t="s">
        <v>38</v>
      </c>
      <c r="S168" s="1" t="s">
        <v>45</v>
      </c>
      <c r="T168" s="1" t="s">
        <v>40</v>
      </c>
      <c r="U168" s="1" t="s">
        <v>32</v>
      </c>
      <c r="V168">
        <v>1944733</v>
      </c>
      <c r="W168" s="1" t="s">
        <v>33</v>
      </c>
      <c r="X168" s="1" t="s">
        <v>28</v>
      </c>
      <c r="Y168" s="1" t="s">
        <v>28</v>
      </c>
      <c r="Z168" s="1" t="s">
        <v>28</v>
      </c>
      <c r="AA168" s="1" t="s">
        <v>28</v>
      </c>
    </row>
    <row r="169" spans="1:27" x14ac:dyDescent="0.35">
      <c r="A169" t="s">
        <v>166</v>
      </c>
      <c r="B169">
        <v>439097</v>
      </c>
      <c r="C169" s="1" t="s">
        <v>28</v>
      </c>
      <c r="D169" s="11">
        <v>6888910.5099999998</v>
      </c>
      <c r="E169" s="1" t="s">
        <v>35</v>
      </c>
      <c r="F169">
        <v>40244</v>
      </c>
      <c r="G169" s="2">
        <v>45991</v>
      </c>
      <c r="H169" s="1" t="s">
        <v>28</v>
      </c>
      <c r="I169" s="1" t="s">
        <v>28</v>
      </c>
      <c r="J169">
        <v>5</v>
      </c>
      <c r="K169" s="1" t="s">
        <v>36</v>
      </c>
      <c r="L169" s="1" t="s">
        <v>28</v>
      </c>
      <c r="O169" s="1" t="s">
        <v>28</v>
      </c>
      <c r="P169" s="1" t="s">
        <v>44</v>
      </c>
      <c r="Q169" s="1" t="s">
        <v>31</v>
      </c>
      <c r="R169" s="1" t="s">
        <v>38</v>
      </c>
      <c r="S169" s="1" t="s">
        <v>45</v>
      </c>
      <c r="T169" s="1" t="s">
        <v>40</v>
      </c>
      <c r="U169" s="1" t="s">
        <v>32</v>
      </c>
      <c r="V169">
        <v>1944733</v>
      </c>
      <c r="W169" s="1" t="s">
        <v>33</v>
      </c>
      <c r="X169" s="1" t="s">
        <v>28</v>
      </c>
      <c r="Y169" s="1" t="s">
        <v>28</v>
      </c>
      <c r="Z169" s="1" t="s">
        <v>28</v>
      </c>
      <c r="AA169" s="1" t="s">
        <v>28</v>
      </c>
    </row>
    <row r="170" spans="1:27" x14ac:dyDescent="0.35">
      <c r="A170" t="s">
        <v>167</v>
      </c>
      <c r="B170">
        <v>438068</v>
      </c>
      <c r="C170" s="1" t="s">
        <v>28</v>
      </c>
      <c r="D170" s="11">
        <v>4307425.22</v>
      </c>
      <c r="E170" s="1" t="s">
        <v>35</v>
      </c>
      <c r="F170">
        <v>40244</v>
      </c>
      <c r="G170" s="2">
        <v>45991</v>
      </c>
      <c r="H170" s="1" t="s">
        <v>28</v>
      </c>
      <c r="I170" s="1" t="s">
        <v>28</v>
      </c>
      <c r="J170">
        <v>6</v>
      </c>
      <c r="K170" s="1" t="s">
        <v>36</v>
      </c>
      <c r="L170" s="1" t="s">
        <v>28</v>
      </c>
      <c r="O170" s="1" t="s">
        <v>28</v>
      </c>
      <c r="P170" s="1" t="s">
        <v>46</v>
      </c>
      <c r="Q170" s="1" t="s">
        <v>31</v>
      </c>
      <c r="R170" s="1" t="s">
        <v>38</v>
      </c>
      <c r="S170" s="1" t="s">
        <v>45</v>
      </c>
      <c r="T170" s="1" t="s">
        <v>40</v>
      </c>
      <c r="U170" s="1" t="s">
        <v>32</v>
      </c>
      <c r="V170">
        <v>1944733</v>
      </c>
      <c r="W170" s="1" t="s">
        <v>33</v>
      </c>
      <c r="X170" s="1" t="s">
        <v>28</v>
      </c>
      <c r="Y170" s="1" t="s">
        <v>28</v>
      </c>
      <c r="Z170" s="1" t="s">
        <v>28</v>
      </c>
      <c r="AA170" s="1" t="s">
        <v>28</v>
      </c>
    </row>
    <row r="171" spans="1:27" x14ac:dyDescent="0.35">
      <c r="A171" t="s">
        <v>166</v>
      </c>
      <c r="B171">
        <v>327543</v>
      </c>
      <c r="C171" s="1" t="s">
        <v>28</v>
      </c>
      <c r="D171" s="11">
        <v>43008167.390000001</v>
      </c>
      <c r="E171" s="1" t="s">
        <v>35</v>
      </c>
      <c r="F171">
        <v>40244</v>
      </c>
      <c r="G171" s="2">
        <v>45991</v>
      </c>
      <c r="H171" s="1" t="s">
        <v>28</v>
      </c>
      <c r="I171" s="1" t="s">
        <v>28</v>
      </c>
      <c r="J171">
        <v>7</v>
      </c>
      <c r="K171" s="1" t="s">
        <v>36</v>
      </c>
      <c r="L171" s="1" t="s">
        <v>28</v>
      </c>
      <c r="O171" s="1" t="s">
        <v>28</v>
      </c>
      <c r="P171" s="1" t="s">
        <v>37</v>
      </c>
      <c r="Q171" s="1" t="s">
        <v>31</v>
      </c>
      <c r="R171" s="1" t="s">
        <v>38</v>
      </c>
      <c r="S171" s="1" t="s">
        <v>45</v>
      </c>
      <c r="T171" s="1" t="s">
        <v>40</v>
      </c>
      <c r="U171" s="1" t="s">
        <v>32</v>
      </c>
      <c r="V171">
        <v>1944733</v>
      </c>
      <c r="W171" s="1" t="s">
        <v>33</v>
      </c>
      <c r="X171" s="1" t="s">
        <v>28</v>
      </c>
      <c r="Y171" s="1" t="s">
        <v>28</v>
      </c>
      <c r="Z171" s="1" t="s">
        <v>28</v>
      </c>
      <c r="AA171" s="1" t="s">
        <v>28</v>
      </c>
    </row>
    <row r="172" spans="1:27" x14ac:dyDescent="0.35">
      <c r="A172" t="s">
        <v>166</v>
      </c>
      <c r="B172">
        <v>439096</v>
      </c>
      <c r="C172" s="1" t="s">
        <v>28</v>
      </c>
      <c r="D172" s="11">
        <v>1329673.56</v>
      </c>
      <c r="E172" s="1" t="s">
        <v>35</v>
      </c>
      <c r="F172">
        <v>40244</v>
      </c>
      <c r="G172" s="2">
        <v>45991</v>
      </c>
      <c r="H172" s="1" t="s">
        <v>28</v>
      </c>
      <c r="I172" s="1" t="s">
        <v>28</v>
      </c>
      <c r="J172">
        <v>8</v>
      </c>
      <c r="K172" s="1" t="s">
        <v>36</v>
      </c>
      <c r="L172" s="1" t="s">
        <v>28</v>
      </c>
      <c r="O172" s="1" t="s">
        <v>28</v>
      </c>
      <c r="P172" s="1" t="s">
        <v>47</v>
      </c>
      <c r="Q172" s="1" t="s">
        <v>31</v>
      </c>
      <c r="R172" s="1" t="s">
        <v>38</v>
      </c>
      <c r="S172" s="1" t="s">
        <v>45</v>
      </c>
      <c r="T172" s="1" t="s">
        <v>40</v>
      </c>
      <c r="U172" s="1" t="s">
        <v>32</v>
      </c>
      <c r="V172">
        <v>1944733</v>
      </c>
      <c r="W172" s="1" t="s">
        <v>33</v>
      </c>
      <c r="X172" s="1" t="s">
        <v>28</v>
      </c>
      <c r="Y172" s="1" t="s">
        <v>28</v>
      </c>
      <c r="Z172" s="1" t="s">
        <v>28</v>
      </c>
      <c r="AA172" s="1" t="s">
        <v>28</v>
      </c>
    </row>
    <row r="173" spans="1:27" x14ac:dyDescent="0.35">
      <c r="A173" t="s">
        <v>166</v>
      </c>
      <c r="B173">
        <v>439097</v>
      </c>
      <c r="C173" s="1" t="s">
        <v>28</v>
      </c>
      <c r="D173" s="11">
        <v>7516046.54</v>
      </c>
      <c r="E173" s="1" t="s">
        <v>35</v>
      </c>
      <c r="F173">
        <v>40245</v>
      </c>
      <c r="G173" s="2">
        <v>45991</v>
      </c>
      <c r="H173" s="1" t="s">
        <v>28</v>
      </c>
      <c r="I173" s="1" t="s">
        <v>28</v>
      </c>
      <c r="J173">
        <v>5</v>
      </c>
      <c r="K173" s="1" t="s">
        <v>36</v>
      </c>
      <c r="L173" s="1" t="s">
        <v>28</v>
      </c>
      <c r="O173" s="1" t="s">
        <v>28</v>
      </c>
      <c r="P173" s="1" t="s">
        <v>44</v>
      </c>
      <c r="Q173" s="1" t="s">
        <v>31</v>
      </c>
      <c r="R173" s="1" t="s">
        <v>38</v>
      </c>
      <c r="S173" s="1" t="s">
        <v>45</v>
      </c>
      <c r="T173" s="1" t="s">
        <v>40</v>
      </c>
      <c r="U173" s="1" t="s">
        <v>32</v>
      </c>
      <c r="V173">
        <v>1944733</v>
      </c>
      <c r="W173" s="1" t="s">
        <v>33</v>
      </c>
      <c r="X173" s="1" t="s">
        <v>28</v>
      </c>
      <c r="Y173" s="1" t="s">
        <v>28</v>
      </c>
      <c r="Z173" s="1" t="s">
        <v>28</v>
      </c>
      <c r="AA173" s="1" t="s">
        <v>28</v>
      </c>
    </row>
    <row r="174" spans="1:27" x14ac:dyDescent="0.35">
      <c r="A174" t="s">
        <v>167</v>
      </c>
      <c r="B174">
        <v>438068</v>
      </c>
      <c r="C174" s="1" t="s">
        <v>28</v>
      </c>
      <c r="D174" s="11">
        <v>4699554.22</v>
      </c>
      <c r="E174" s="1" t="s">
        <v>35</v>
      </c>
      <c r="F174">
        <v>40245</v>
      </c>
      <c r="G174" s="2">
        <v>45991</v>
      </c>
      <c r="H174" s="1" t="s">
        <v>28</v>
      </c>
      <c r="I174" s="1" t="s">
        <v>28</v>
      </c>
      <c r="J174">
        <v>6</v>
      </c>
      <c r="K174" s="1" t="s">
        <v>36</v>
      </c>
      <c r="L174" s="1" t="s">
        <v>28</v>
      </c>
      <c r="O174" s="1" t="s">
        <v>28</v>
      </c>
      <c r="P174" s="1" t="s">
        <v>46</v>
      </c>
      <c r="Q174" s="1" t="s">
        <v>31</v>
      </c>
      <c r="R174" s="1" t="s">
        <v>38</v>
      </c>
      <c r="S174" s="1" t="s">
        <v>45</v>
      </c>
      <c r="T174" s="1" t="s">
        <v>40</v>
      </c>
      <c r="U174" s="1" t="s">
        <v>32</v>
      </c>
      <c r="V174">
        <v>1944733</v>
      </c>
      <c r="W174" s="1" t="s">
        <v>33</v>
      </c>
      <c r="X174" s="1" t="s">
        <v>28</v>
      </c>
      <c r="Y174" s="1" t="s">
        <v>28</v>
      </c>
      <c r="Z174" s="1" t="s">
        <v>28</v>
      </c>
      <c r="AA174" s="1" t="s">
        <v>28</v>
      </c>
    </row>
    <row r="175" spans="1:27" x14ac:dyDescent="0.35">
      <c r="A175" t="s">
        <v>166</v>
      </c>
      <c r="B175">
        <v>327543</v>
      </c>
      <c r="C175" s="1" t="s">
        <v>28</v>
      </c>
      <c r="D175" s="11">
        <v>47074742.030000001</v>
      </c>
      <c r="E175" s="1" t="s">
        <v>35</v>
      </c>
      <c r="F175">
        <v>40245</v>
      </c>
      <c r="G175" s="2">
        <v>45991</v>
      </c>
      <c r="H175" s="1" t="s">
        <v>28</v>
      </c>
      <c r="I175" s="1" t="s">
        <v>28</v>
      </c>
      <c r="J175">
        <v>7</v>
      </c>
      <c r="K175" s="1" t="s">
        <v>36</v>
      </c>
      <c r="L175" s="1" t="s">
        <v>28</v>
      </c>
      <c r="O175" s="1" t="s">
        <v>28</v>
      </c>
      <c r="P175" s="1" t="s">
        <v>37</v>
      </c>
      <c r="Q175" s="1" t="s">
        <v>31</v>
      </c>
      <c r="R175" s="1" t="s">
        <v>38</v>
      </c>
      <c r="S175" s="1" t="s">
        <v>45</v>
      </c>
      <c r="T175" s="1" t="s">
        <v>40</v>
      </c>
      <c r="U175" s="1" t="s">
        <v>32</v>
      </c>
      <c r="V175">
        <v>1944733</v>
      </c>
      <c r="W175" s="1" t="s">
        <v>33</v>
      </c>
      <c r="X175" s="1" t="s">
        <v>28</v>
      </c>
      <c r="Y175" s="1" t="s">
        <v>28</v>
      </c>
      <c r="Z175" s="1" t="s">
        <v>28</v>
      </c>
      <c r="AA175" s="1" t="s">
        <v>28</v>
      </c>
    </row>
    <row r="176" spans="1:27" x14ac:dyDescent="0.35">
      <c r="A176" t="s">
        <v>166</v>
      </c>
      <c r="B176">
        <v>439096</v>
      </c>
      <c r="C176" s="1" t="s">
        <v>28</v>
      </c>
      <c r="D176" s="11">
        <v>1450721.18</v>
      </c>
      <c r="E176" s="1" t="s">
        <v>35</v>
      </c>
      <c r="F176">
        <v>40245</v>
      </c>
      <c r="G176" s="2">
        <v>45991</v>
      </c>
      <c r="H176" s="1" t="s">
        <v>28</v>
      </c>
      <c r="I176" s="1" t="s">
        <v>28</v>
      </c>
      <c r="J176">
        <v>8</v>
      </c>
      <c r="K176" s="1" t="s">
        <v>36</v>
      </c>
      <c r="L176" s="1" t="s">
        <v>28</v>
      </c>
      <c r="O176" s="1" t="s">
        <v>28</v>
      </c>
      <c r="P176" s="1" t="s">
        <v>47</v>
      </c>
      <c r="Q176" s="1" t="s">
        <v>31</v>
      </c>
      <c r="R176" s="1" t="s">
        <v>38</v>
      </c>
      <c r="S176" s="1" t="s">
        <v>45</v>
      </c>
      <c r="T176" s="1" t="s">
        <v>40</v>
      </c>
      <c r="U176" s="1" t="s">
        <v>32</v>
      </c>
      <c r="V176">
        <v>1944733</v>
      </c>
      <c r="W176" s="1" t="s">
        <v>33</v>
      </c>
      <c r="X176" s="1" t="s">
        <v>28</v>
      </c>
      <c r="Y176" s="1" t="s">
        <v>28</v>
      </c>
      <c r="Z176" s="1" t="s">
        <v>28</v>
      </c>
      <c r="AA176" s="1" t="s">
        <v>28</v>
      </c>
    </row>
    <row r="177" spans="1:27" x14ac:dyDescent="0.35">
      <c r="A177" t="s">
        <v>166</v>
      </c>
      <c r="B177">
        <v>439097</v>
      </c>
      <c r="C177" s="1" t="s">
        <v>28</v>
      </c>
      <c r="D177" s="11">
        <v>1864956.91</v>
      </c>
      <c r="E177" s="1" t="s">
        <v>35</v>
      </c>
      <c r="F177">
        <v>40246</v>
      </c>
      <c r="G177" s="2">
        <v>45991</v>
      </c>
      <c r="H177" s="1" t="s">
        <v>28</v>
      </c>
      <c r="I177" s="1" t="s">
        <v>28</v>
      </c>
      <c r="J177">
        <v>5</v>
      </c>
      <c r="K177" s="1" t="s">
        <v>36</v>
      </c>
      <c r="L177" s="1" t="s">
        <v>28</v>
      </c>
      <c r="O177" s="1" t="s">
        <v>28</v>
      </c>
      <c r="P177" s="1" t="s">
        <v>44</v>
      </c>
      <c r="Q177" s="1" t="s">
        <v>31</v>
      </c>
      <c r="R177" s="1" t="s">
        <v>38</v>
      </c>
      <c r="S177" s="1" t="s">
        <v>43</v>
      </c>
      <c r="T177" s="1" t="s">
        <v>40</v>
      </c>
      <c r="U177" s="1" t="s">
        <v>32</v>
      </c>
      <c r="V177">
        <v>1944733</v>
      </c>
      <c r="W177" s="1" t="s">
        <v>33</v>
      </c>
      <c r="X177" s="1" t="s">
        <v>28</v>
      </c>
      <c r="Y177" s="1" t="s">
        <v>28</v>
      </c>
      <c r="Z177" s="1" t="s">
        <v>28</v>
      </c>
      <c r="AA177" s="1" t="s">
        <v>28</v>
      </c>
    </row>
    <row r="178" spans="1:27" x14ac:dyDescent="0.35">
      <c r="A178" t="s">
        <v>167</v>
      </c>
      <c r="B178">
        <v>438068</v>
      </c>
      <c r="C178" s="1" t="s">
        <v>28</v>
      </c>
      <c r="D178" s="11">
        <v>1166100.57</v>
      </c>
      <c r="E178" s="1" t="s">
        <v>35</v>
      </c>
      <c r="F178">
        <v>40246</v>
      </c>
      <c r="G178" s="2">
        <v>45991</v>
      </c>
      <c r="H178" s="1" t="s">
        <v>28</v>
      </c>
      <c r="I178" s="1" t="s">
        <v>28</v>
      </c>
      <c r="J178">
        <v>6</v>
      </c>
      <c r="K178" s="1" t="s">
        <v>36</v>
      </c>
      <c r="L178" s="1" t="s">
        <v>28</v>
      </c>
      <c r="O178" s="1" t="s">
        <v>28</v>
      </c>
      <c r="P178" s="1" t="s">
        <v>46</v>
      </c>
      <c r="Q178" s="1" t="s">
        <v>31</v>
      </c>
      <c r="R178" s="1" t="s">
        <v>38</v>
      </c>
      <c r="S178" s="1" t="s">
        <v>43</v>
      </c>
      <c r="T178" s="1" t="s">
        <v>40</v>
      </c>
      <c r="U178" s="1" t="s">
        <v>32</v>
      </c>
      <c r="V178">
        <v>1944733</v>
      </c>
      <c r="W178" s="1" t="s">
        <v>33</v>
      </c>
      <c r="X178" s="1" t="s">
        <v>28</v>
      </c>
      <c r="Y178" s="1" t="s">
        <v>28</v>
      </c>
      <c r="Z178" s="1" t="s">
        <v>28</v>
      </c>
      <c r="AA178" s="1" t="s">
        <v>28</v>
      </c>
    </row>
    <row r="179" spans="1:27" x14ac:dyDescent="0.35">
      <c r="A179" t="s">
        <v>166</v>
      </c>
      <c r="B179">
        <v>327543</v>
      </c>
      <c r="C179" s="1" t="s">
        <v>28</v>
      </c>
      <c r="D179" s="11">
        <v>12144017.6</v>
      </c>
      <c r="E179" s="1" t="s">
        <v>35</v>
      </c>
      <c r="F179">
        <v>40246</v>
      </c>
      <c r="G179" s="2">
        <v>45991</v>
      </c>
      <c r="H179" s="1" t="s">
        <v>28</v>
      </c>
      <c r="I179" s="1" t="s">
        <v>28</v>
      </c>
      <c r="J179">
        <v>7</v>
      </c>
      <c r="K179" s="1" t="s">
        <v>36</v>
      </c>
      <c r="L179" s="1" t="s">
        <v>28</v>
      </c>
      <c r="O179" s="1" t="s">
        <v>28</v>
      </c>
      <c r="P179" s="1" t="s">
        <v>37</v>
      </c>
      <c r="Q179" s="1" t="s">
        <v>31</v>
      </c>
      <c r="R179" s="1" t="s">
        <v>38</v>
      </c>
      <c r="S179" s="1" t="s">
        <v>43</v>
      </c>
      <c r="T179" s="1" t="s">
        <v>40</v>
      </c>
      <c r="U179" s="1" t="s">
        <v>32</v>
      </c>
      <c r="V179">
        <v>1944733</v>
      </c>
      <c r="W179" s="1" t="s">
        <v>33</v>
      </c>
      <c r="X179" s="1" t="s">
        <v>28</v>
      </c>
      <c r="Y179" s="1" t="s">
        <v>28</v>
      </c>
      <c r="Z179" s="1" t="s">
        <v>28</v>
      </c>
      <c r="AA179" s="1" t="s">
        <v>28</v>
      </c>
    </row>
    <row r="180" spans="1:27" x14ac:dyDescent="0.35">
      <c r="A180" t="s">
        <v>166</v>
      </c>
      <c r="B180">
        <v>439096</v>
      </c>
      <c r="C180" s="1" t="s">
        <v>28</v>
      </c>
      <c r="D180" s="11">
        <v>359967.5</v>
      </c>
      <c r="E180" s="1" t="s">
        <v>35</v>
      </c>
      <c r="F180">
        <v>40246</v>
      </c>
      <c r="G180" s="2">
        <v>45991</v>
      </c>
      <c r="H180" s="1" t="s">
        <v>28</v>
      </c>
      <c r="I180" s="1" t="s">
        <v>28</v>
      </c>
      <c r="J180">
        <v>8</v>
      </c>
      <c r="K180" s="1" t="s">
        <v>36</v>
      </c>
      <c r="L180" s="1" t="s">
        <v>28</v>
      </c>
      <c r="O180" s="1" t="s">
        <v>28</v>
      </c>
      <c r="P180" s="1" t="s">
        <v>47</v>
      </c>
      <c r="Q180" s="1" t="s">
        <v>31</v>
      </c>
      <c r="R180" s="1" t="s">
        <v>38</v>
      </c>
      <c r="S180" s="1" t="s">
        <v>43</v>
      </c>
      <c r="T180" s="1" t="s">
        <v>40</v>
      </c>
      <c r="U180" s="1" t="s">
        <v>32</v>
      </c>
      <c r="V180">
        <v>1944733</v>
      </c>
      <c r="W180" s="1" t="s">
        <v>33</v>
      </c>
      <c r="X180" s="1" t="s">
        <v>28</v>
      </c>
      <c r="Y180" s="1" t="s">
        <v>28</v>
      </c>
      <c r="Z180" s="1" t="s">
        <v>28</v>
      </c>
      <c r="AA180" s="1" t="s">
        <v>28</v>
      </c>
    </row>
    <row r="181" spans="1:27" x14ac:dyDescent="0.35">
      <c r="A181" t="s">
        <v>166</v>
      </c>
      <c r="B181">
        <v>439097</v>
      </c>
      <c r="C181" s="1" t="s">
        <v>28</v>
      </c>
      <c r="D181" s="11">
        <v>2760658.82</v>
      </c>
      <c r="E181" s="1" t="s">
        <v>35</v>
      </c>
      <c r="F181">
        <v>40247</v>
      </c>
      <c r="G181" s="2">
        <v>45991</v>
      </c>
      <c r="H181" s="1" t="s">
        <v>28</v>
      </c>
      <c r="I181" s="1" t="s">
        <v>28</v>
      </c>
      <c r="J181">
        <v>5</v>
      </c>
      <c r="K181" s="1" t="s">
        <v>36</v>
      </c>
      <c r="L181" s="1" t="s">
        <v>28</v>
      </c>
      <c r="O181" s="1" t="s">
        <v>28</v>
      </c>
      <c r="P181" s="1" t="s">
        <v>44</v>
      </c>
      <c r="Q181" s="1" t="s">
        <v>31</v>
      </c>
      <c r="R181" s="1" t="s">
        <v>38</v>
      </c>
      <c r="S181" s="1" t="s">
        <v>43</v>
      </c>
      <c r="T181" s="1" t="s">
        <v>40</v>
      </c>
      <c r="U181" s="1" t="s">
        <v>32</v>
      </c>
      <c r="V181">
        <v>1944733</v>
      </c>
      <c r="W181" s="1" t="s">
        <v>33</v>
      </c>
      <c r="X181" s="1" t="s">
        <v>28</v>
      </c>
      <c r="Y181" s="1" t="s">
        <v>28</v>
      </c>
      <c r="Z181" s="1" t="s">
        <v>28</v>
      </c>
      <c r="AA181" s="1" t="s">
        <v>28</v>
      </c>
    </row>
    <row r="182" spans="1:27" x14ac:dyDescent="0.35">
      <c r="A182" t="s">
        <v>167</v>
      </c>
      <c r="B182">
        <v>438068</v>
      </c>
      <c r="C182" s="1" t="s">
        <v>28</v>
      </c>
      <c r="D182" s="11">
        <v>1726155.6</v>
      </c>
      <c r="E182" s="1" t="s">
        <v>35</v>
      </c>
      <c r="F182">
        <v>40247</v>
      </c>
      <c r="G182" s="2">
        <v>45991</v>
      </c>
      <c r="H182" s="1" t="s">
        <v>28</v>
      </c>
      <c r="I182" s="1" t="s">
        <v>28</v>
      </c>
      <c r="J182">
        <v>6</v>
      </c>
      <c r="K182" s="1" t="s">
        <v>36</v>
      </c>
      <c r="L182" s="1" t="s">
        <v>28</v>
      </c>
      <c r="O182" s="1" t="s">
        <v>28</v>
      </c>
      <c r="P182" s="1" t="s">
        <v>46</v>
      </c>
      <c r="Q182" s="1" t="s">
        <v>31</v>
      </c>
      <c r="R182" s="1" t="s">
        <v>38</v>
      </c>
      <c r="S182" s="1" t="s">
        <v>43</v>
      </c>
      <c r="T182" s="1" t="s">
        <v>40</v>
      </c>
      <c r="U182" s="1" t="s">
        <v>32</v>
      </c>
      <c r="V182">
        <v>1944733</v>
      </c>
      <c r="W182" s="1" t="s">
        <v>33</v>
      </c>
      <c r="X182" s="1" t="s">
        <v>28</v>
      </c>
      <c r="Y182" s="1" t="s">
        <v>28</v>
      </c>
      <c r="Z182" s="1" t="s">
        <v>28</v>
      </c>
      <c r="AA182" s="1" t="s">
        <v>28</v>
      </c>
    </row>
    <row r="183" spans="1:27" x14ac:dyDescent="0.35">
      <c r="A183" t="s">
        <v>166</v>
      </c>
      <c r="B183">
        <v>327543</v>
      </c>
      <c r="C183" s="1" t="s">
        <v>28</v>
      </c>
      <c r="D183" s="11">
        <v>18004584.329999998</v>
      </c>
      <c r="E183" s="1" t="s">
        <v>35</v>
      </c>
      <c r="F183">
        <v>40247</v>
      </c>
      <c r="G183" s="2">
        <v>45991</v>
      </c>
      <c r="H183" s="1" t="s">
        <v>28</v>
      </c>
      <c r="I183" s="1" t="s">
        <v>28</v>
      </c>
      <c r="J183">
        <v>7</v>
      </c>
      <c r="K183" s="1" t="s">
        <v>36</v>
      </c>
      <c r="L183" s="1" t="s">
        <v>28</v>
      </c>
      <c r="O183" s="1" t="s">
        <v>28</v>
      </c>
      <c r="P183" s="1" t="s">
        <v>37</v>
      </c>
      <c r="Q183" s="1" t="s">
        <v>31</v>
      </c>
      <c r="R183" s="1" t="s">
        <v>38</v>
      </c>
      <c r="S183" s="1" t="s">
        <v>43</v>
      </c>
      <c r="T183" s="1" t="s">
        <v>40</v>
      </c>
      <c r="U183" s="1" t="s">
        <v>32</v>
      </c>
      <c r="V183">
        <v>1944733</v>
      </c>
      <c r="W183" s="1" t="s">
        <v>33</v>
      </c>
      <c r="X183" s="1" t="s">
        <v>28</v>
      </c>
      <c r="Y183" s="1" t="s">
        <v>28</v>
      </c>
      <c r="Z183" s="1" t="s">
        <v>28</v>
      </c>
      <c r="AA183" s="1" t="s">
        <v>28</v>
      </c>
    </row>
    <row r="184" spans="1:27" x14ac:dyDescent="0.35">
      <c r="A184" t="s">
        <v>166</v>
      </c>
      <c r="B184">
        <v>439096</v>
      </c>
      <c r="C184" s="1" t="s">
        <v>28</v>
      </c>
      <c r="D184" s="11">
        <v>532852.77</v>
      </c>
      <c r="E184" s="1" t="s">
        <v>35</v>
      </c>
      <c r="F184">
        <v>40247</v>
      </c>
      <c r="G184" s="2">
        <v>45991</v>
      </c>
      <c r="H184" s="1" t="s">
        <v>28</v>
      </c>
      <c r="I184" s="1" t="s">
        <v>28</v>
      </c>
      <c r="J184">
        <v>8</v>
      </c>
      <c r="K184" s="1" t="s">
        <v>36</v>
      </c>
      <c r="L184" s="1" t="s">
        <v>28</v>
      </c>
      <c r="O184" s="1" t="s">
        <v>28</v>
      </c>
      <c r="P184" s="1" t="s">
        <v>47</v>
      </c>
      <c r="Q184" s="1" t="s">
        <v>31</v>
      </c>
      <c r="R184" s="1" t="s">
        <v>38</v>
      </c>
      <c r="S184" s="1" t="s">
        <v>43</v>
      </c>
      <c r="T184" s="1" t="s">
        <v>40</v>
      </c>
      <c r="U184" s="1" t="s">
        <v>32</v>
      </c>
      <c r="V184">
        <v>1944733</v>
      </c>
      <c r="W184" s="1" t="s">
        <v>33</v>
      </c>
      <c r="X184" s="1" t="s">
        <v>28</v>
      </c>
      <c r="Y184" s="1" t="s">
        <v>28</v>
      </c>
      <c r="Z184" s="1" t="s">
        <v>28</v>
      </c>
      <c r="AA184" s="1" t="s">
        <v>28</v>
      </c>
    </row>
    <row r="185" spans="1:27" x14ac:dyDescent="0.35">
      <c r="A185" t="s">
        <v>166</v>
      </c>
      <c r="B185">
        <v>439097</v>
      </c>
      <c r="C185" s="1" t="s">
        <v>28</v>
      </c>
      <c r="D185" s="11">
        <v>3757659.19</v>
      </c>
      <c r="E185" s="1" t="s">
        <v>35</v>
      </c>
      <c r="F185">
        <v>40248</v>
      </c>
      <c r="G185" s="2">
        <v>45991</v>
      </c>
      <c r="H185" s="1" t="s">
        <v>28</v>
      </c>
      <c r="I185" s="1" t="s">
        <v>28</v>
      </c>
      <c r="J185">
        <v>5</v>
      </c>
      <c r="K185" s="1" t="s">
        <v>36</v>
      </c>
      <c r="L185" s="1" t="s">
        <v>28</v>
      </c>
      <c r="O185" s="1" t="s">
        <v>28</v>
      </c>
      <c r="P185" s="1" t="s">
        <v>44</v>
      </c>
      <c r="Q185" s="1" t="s">
        <v>31</v>
      </c>
      <c r="R185" s="1" t="s">
        <v>38</v>
      </c>
      <c r="S185" s="1" t="s">
        <v>42</v>
      </c>
      <c r="T185" s="1" t="s">
        <v>40</v>
      </c>
      <c r="U185" s="1" t="s">
        <v>32</v>
      </c>
      <c r="V185">
        <v>1944733</v>
      </c>
      <c r="W185" s="1" t="s">
        <v>33</v>
      </c>
      <c r="X185" s="1" t="s">
        <v>28</v>
      </c>
      <c r="Y185" s="1" t="s">
        <v>28</v>
      </c>
      <c r="Z185" s="1" t="s">
        <v>28</v>
      </c>
      <c r="AA185" s="1" t="s">
        <v>28</v>
      </c>
    </row>
    <row r="186" spans="1:27" x14ac:dyDescent="0.35">
      <c r="A186" t="s">
        <v>167</v>
      </c>
      <c r="B186">
        <v>438068</v>
      </c>
      <c r="C186" s="1" t="s">
        <v>28</v>
      </c>
      <c r="D186" s="11">
        <v>2349549.46</v>
      </c>
      <c r="E186" s="1" t="s">
        <v>35</v>
      </c>
      <c r="F186">
        <v>40248</v>
      </c>
      <c r="G186" s="2">
        <v>45991</v>
      </c>
      <c r="H186" s="1" t="s">
        <v>28</v>
      </c>
      <c r="I186" s="1" t="s">
        <v>28</v>
      </c>
      <c r="J186">
        <v>6</v>
      </c>
      <c r="K186" s="1" t="s">
        <v>36</v>
      </c>
      <c r="L186" s="1" t="s">
        <v>28</v>
      </c>
      <c r="O186" s="1" t="s">
        <v>28</v>
      </c>
      <c r="P186" s="1" t="s">
        <v>46</v>
      </c>
      <c r="Q186" s="1" t="s">
        <v>31</v>
      </c>
      <c r="R186" s="1" t="s">
        <v>38</v>
      </c>
      <c r="S186" s="1" t="s">
        <v>42</v>
      </c>
      <c r="T186" s="1" t="s">
        <v>40</v>
      </c>
      <c r="U186" s="1" t="s">
        <v>32</v>
      </c>
      <c r="V186">
        <v>1944733</v>
      </c>
      <c r="W186" s="1" t="s">
        <v>33</v>
      </c>
      <c r="X186" s="1" t="s">
        <v>28</v>
      </c>
      <c r="Y186" s="1" t="s">
        <v>28</v>
      </c>
      <c r="Z186" s="1" t="s">
        <v>28</v>
      </c>
      <c r="AA186" s="1" t="s">
        <v>28</v>
      </c>
    </row>
    <row r="187" spans="1:27" x14ac:dyDescent="0.35">
      <c r="A187" t="s">
        <v>166</v>
      </c>
      <c r="B187">
        <v>327543</v>
      </c>
      <c r="C187" s="1" t="s">
        <v>28</v>
      </c>
      <c r="D187" s="11">
        <v>24427486.460000001</v>
      </c>
      <c r="E187" s="1" t="s">
        <v>35</v>
      </c>
      <c r="F187">
        <v>40248</v>
      </c>
      <c r="G187" s="2">
        <v>45991</v>
      </c>
      <c r="H187" s="1" t="s">
        <v>28</v>
      </c>
      <c r="I187" s="1" t="s">
        <v>28</v>
      </c>
      <c r="J187">
        <v>7</v>
      </c>
      <c r="K187" s="1" t="s">
        <v>36</v>
      </c>
      <c r="L187" s="1" t="s">
        <v>28</v>
      </c>
      <c r="O187" s="1" t="s">
        <v>28</v>
      </c>
      <c r="P187" s="1" t="s">
        <v>37</v>
      </c>
      <c r="Q187" s="1" t="s">
        <v>31</v>
      </c>
      <c r="R187" s="1" t="s">
        <v>38</v>
      </c>
      <c r="S187" s="1" t="s">
        <v>42</v>
      </c>
      <c r="T187" s="1" t="s">
        <v>40</v>
      </c>
      <c r="U187" s="1" t="s">
        <v>32</v>
      </c>
      <c r="V187">
        <v>1944733</v>
      </c>
      <c r="W187" s="1" t="s">
        <v>33</v>
      </c>
      <c r="X187" s="1" t="s">
        <v>28</v>
      </c>
      <c r="Y187" s="1" t="s">
        <v>28</v>
      </c>
      <c r="Z187" s="1" t="s">
        <v>28</v>
      </c>
      <c r="AA187" s="1" t="s">
        <v>28</v>
      </c>
    </row>
    <row r="188" spans="1:27" x14ac:dyDescent="0.35">
      <c r="A188" t="s">
        <v>166</v>
      </c>
      <c r="B188">
        <v>439096</v>
      </c>
      <c r="C188" s="1" t="s">
        <v>28</v>
      </c>
      <c r="D188" s="11">
        <v>725290.32</v>
      </c>
      <c r="E188" s="1" t="s">
        <v>35</v>
      </c>
      <c r="F188">
        <v>40248</v>
      </c>
      <c r="G188" s="2">
        <v>45991</v>
      </c>
      <c r="H188" s="1" t="s">
        <v>28</v>
      </c>
      <c r="I188" s="1" t="s">
        <v>28</v>
      </c>
      <c r="J188">
        <v>8</v>
      </c>
      <c r="K188" s="1" t="s">
        <v>36</v>
      </c>
      <c r="L188" s="1" t="s">
        <v>28</v>
      </c>
      <c r="O188" s="1" t="s">
        <v>28</v>
      </c>
      <c r="P188" s="1" t="s">
        <v>47</v>
      </c>
      <c r="Q188" s="1" t="s">
        <v>31</v>
      </c>
      <c r="R188" s="1" t="s">
        <v>38</v>
      </c>
      <c r="S188" s="1" t="s">
        <v>42</v>
      </c>
      <c r="T188" s="1" t="s">
        <v>40</v>
      </c>
      <c r="U188" s="1" t="s">
        <v>32</v>
      </c>
      <c r="V188">
        <v>1944733</v>
      </c>
      <c r="W188" s="1" t="s">
        <v>33</v>
      </c>
      <c r="X188" s="1" t="s">
        <v>28</v>
      </c>
      <c r="Y188" s="1" t="s">
        <v>28</v>
      </c>
      <c r="Z188" s="1" t="s">
        <v>28</v>
      </c>
      <c r="AA188" s="1" t="s">
        <v>28</v>
      </c>
    </row>
    <row r="189" spans="1:27" x14ac:dyDescent="0.35">
      <c r="A189" t="s">
        <v>166</v>
      </c>
      <c r="B189">
        <v>327543</v>
      </c>
      <c r="C189" s="1" t="s">
        <v>28</v>
      </c>
      <c r="D189" s="11">
        <v>38245544.560000002</v>
      </c>
      <c r="E189" s="1" t="s">
        <v>35</v>
      </c>
      <c r="F189">
        <v>40250</v>
      </c>
      <c r="G189" s="2">
        <v>45991</v>
      </c>
      <c r="H189" s="1" t="s">
        <v>28</v>
      </c>
      <c r="I189" s="1" t="s">
        <v>28</v>
      </c>
      <c r="J189">
        <v>2</v>
      </c>
      <c r="K189" s="1" t="s">
        <v>36</v>
      </c>
      <c r="L189" s="1" t="s">
        <v>28</v>
      </c>
      <c r="O189" s="1" t="s">
        <v>28</v>
      </c>
      <c r="P189" s="1" t="s">
        <v>37</v>
      </c>
      <c r="Q189" s="1" t="s">
        <v>31</v>
      </c>
      <c r="R189" s="1" t="s">
        <v>38</v>
      </c>
      <c r="S189" s="1" t="s">
        <v>42</v>
      </c>
      <c r="T189" s="1" t="s">
        <v>40</v>
      </c>
      <c r="U189" s="1" t="s">
        <v>32</v>
      </c>
      <c r="V189">
        <v>1944733</v>
      </c>
      <c r="W189" s="1" t="s">
        <v>33</v>
      </c>
      <c r="X189" s="1" t="s">
        <v>28</v>
      </c>
      <c r="Y189" s="1" t="s">
        <v>28</v>
      </c>
      <c r="Z189" s="1" t="s">
        <v>28</v>
      </c>
      <c r="AA189" s="1" t="s">
        <v>28</v>
      </c>
    </row>
    <row r="190" spans="1:27" x14ac:dyDescent="0.35">
      <c r="A190" t="s">
        <v>166</v>
      </c>
      <c r="B190">
        <v>439097</v>
      </c>
      <c r="C190" s="1" t="s">
        <v>28</v>
      </c>
      <c r="D190" s="11">
        <v>10417532.619999999</v>
      </c>
      <c r="E190" s="1" t="s">
        <v>35</v>
      </c>
      <c r="F190">
        <v>40251</v>
      </c>
      <c r="G190" s="2">
        <v>45991</v>
      </c>
      <c r="H190" s="1" t="s">
        <v>28</v>
      </c>
      <c r="I190" s="1" t="s">
        <v>28</v>
      </c>
      <c r="J190">
        <v>5</v>
      </c>
      <c r="K190" s="1" t="s">
        <v>36</v>
      </c>
      <c r="L190" s="1" t="s">
        <v>28</v>
      </c>
      <c r="O190" s="1" t="s">
        <v>28</v>
      </c>
      <c r="P190" s="1" t="s">
        <v>44</v>
      </c>
      <c r="Q190" s="1" t="s">
        <v>31</v>
      </c>
      <c r="R190" s="1" t="s">
        <v>38</v>
      </c>
      <c r="S190" s="1" t="s">
        <v>42</v>
      </c>
      <c r="T190" s="1" t="s">
        <v>40</v>
      </c>
      <c r="U190" s="1" t="s">
        <v>32</v>
      </c>
      <c r="V190">
        <v>1944733</v>
      </c>
      <c r="W190" s="1" t="s">
        <v>33</v>
      </c>
      <c r="X190" s="1" t="s">
        <v>28</v>
      </c>
      <c r="Y190" s="1" t="s">
        <v>28</v>
      </c>
      <c r="Z190" s="1" t="s">
        <v>28</v>
      </c>
      <c r="AA190" s="1" t="s">
        <v>28</v>
      </c>
    </row>
    <row r="191" spans="1:27" x14ac:dyDescent="0.35">
      <c r="A191" t="s">
        <v>167</v>
      </c>
      <c r="B191">
        <v>438068</v>
      </c>
      <c r="C191" s="1" t="s">
        <v>28</v>
      </c>
      <c r="D191" s="11">
        <v>6513764.7999999998</v>
      </c>
      <c r="E191" s="1" t="s">
        <v>35</v>
      </c>
      <c r="F191">
        <v>40251</v>
      </c>
      <c r="G191" s="2">
        <v>45991</v>
      </c>
      <c r="H191" s="1" t="s">
        <v>28</v>
      </c>
      <c r="I191" s="1" t="s">
        <v>28</v>
      </c>
      <c r="J191">
        <v>6</v>
      </c>
      <c r="K191" s="1" t="s">
        <v>36</v>
      </c>
      <c r="L191" s="1" t="s">
        <v>28</v>
      </c>
      <c r="O191" s="1" t="s">
        <v>28</v>
      </c>
      <c r="P191" s="1" t="s">
        <v>46</v>
      </c>
      <c r="Q191" s="1" t="s">
        <v>31</v>
      </c>
      <c r="R191" s="1" t="s">
        <v>38</v>
      </c>
      <c r="S191" s="1" t="s">
        <v>42</v>
      </c>
      <c r="T191" s="1" t="s">
        <v>40</v>
      </c>
      <c r="U191" s="1" t="s">
        <v>32</v>
      </c>
      <c r="V191">
        <v>1944733</v>
      </c>
      <c r="W191" s="1" t="s">
        <v>33</v>
      </c>
      <c r="X191" s="1" t="s">
        <v>28</v>
      </c>
      <c r="Y191" s="1" t="s">
        <v>28</v>
      </c>
      <c r="Z191" s="1" t="s">
        <v>28</v>
      </c>
      <c r="AA191" s="1" t="s">
        <v>28</v>
      </c>
    </row>
    <row r="192" spans="1:27" x14ac:dyDescent="0.35">
      <c r="A192" t="s">
        <v>166</v>
      </c>
      <c r="B192">
        <v>327543</v>
      </c>
      <c r="C192" s="1" t="s">
        <v>28</v>
      </c>
      <c r="D192" s="11">
        <v>67719774.019999996</v>
      </c>
      <c r="E192" s="1" t="s">
        <v>35</v>
      </c>
      <c r="F192">
        <v>40251</v>
      </c>
      <c r="G192" s="2">
        <v>45991</v>
      </c>
      <c r="H192" s="1" t="s">
        <v>28</v>
      </c>
      <c r="I192" s="1" t="s">
        <v>28</v>
      </c>
      <c r="J192">
        <v>7</v>
      </c>
      <c r="K192" s="1" t="s">
        <v>36</v>
      </c>
      <c r="L192" s="1" t="s">
        <v>28</v>
      </c>
      <c r="O192" s="1" t="s">
        <v>28</v>
      </c>
      <c r="P192" s="1" t="s">
        <v>37</v>
      </c>
      <c r="Q192" s="1" t="s">
        <v>31</v>
      </c>
      <c r="R192" s="1" t="s">
        <v>38</v>
      </c>
      <c r="S192" s="1" t="s">
        <v>42</v>
      </c>
      <c r="T192" s="1" t="s">
        <v>40</v>
      </c>
      <c r="U192" s="1" t="s">
        <v>32</v>
      </c>
      <c r="V192">
        <v>1944733</v>
      </c>
      <c r="W192" s="1" t="s">
        <v>33</v>
      </c>
      <c r="X192" s="1" t="s">
        <v>28</v>
      </c>
      <c r="Y192" s="1" t="s">
        <v>28</v>
      </c>
      <c r="Z192" s="1" t="s">
        <v>28</v>
      </c>
      <c r="AA192" s="1" t="s">
        <v>28</v>
      </c>
    </row>
    <row r="193" spans="1:27" x14ac:dyDescent="0.35">
      <c r="A193" t="s">
        <v>166</v>
      </c>
      <c r="B193">
        <v>439096</v>
      </c>
      <c r="C193" s="1" t="s">
        <v>28</v>
      </c>
      <c r="D193" s="11">
        <v>2010755.94</v>
      </c>
      <c r="E193" s="1" t="s">
        <v>35</v>
      </c>
      <c r="F193">
        <v>40251</v>
      </c>
      <c r="G193" s="2">
        <v>45991</v>
      </c>
      <c r="H193" s="1" t="s">
        <v>28</v>
      </c>
      <c r="I193" s="1" t="s">
        <v>28</v>
      </c>
      <c r="J193">
        <v>8</v>
      </c>
      <c r="K193" s="1" t="s">
        <v>36</v>
      </c>
      <c r="L193" s="1" t="s">
        <v>28</v>
      </c>
      <c r="O193" s="1" t="s">
        <v>28</v>
      </c>
      <c r="P193" s="1" t="s">
        <v>47</v>
      </c>
      <c r="Q193" s="1" t="s">
        <v>31</v>
      </c>
      <c r="R193" s="1" t="s">
        <v>38</v>
      </c>
      <c r="S193" s="1" t="s">
        <v>42</v>
      </c>
      <c r="T193" s="1" t="s">
        <v>40</v>
      </c>
      <c r="U193" s="1" t="s">
        <v>32</v>
      </c>
      <c r="V193">
        <v>1944733</v>
      </c>
      <c r="W193" s="1" t="s">
        <v>33</v>
      </c>
      <c r="X193" s="1" t="s">
        <v>28</v>
      </c>
      <c r="Y193" s="1" t="s">
        <v>28</v>
      </c>
      <c r="Z193" s="1" t="s">
        <v>28</v>
      </c>
      <c r="AA193" s="1" t="s">
        <v>28</v>
      </c>
    </row>
    <row r="194" spans="1:27" x14ac:dyDescent="0.35">
      <c r="A194" t="s">
        <v>166</v>
      </c>
      <c r="B194">
        <v>439097</v>
      </c>
      <c r="C194" s="1" t="s">
        <v>28</v>
      </c>
      <c r="D194" s="11">
        <v>4470228.26</v>
      </c>
      <c r="E194" s="1" t="s">
        <v>35</v>
      </c>
      <c r="F194">
        <v>40252</v>
      </c>
      <c r="G194" s="2">
        <v>45991</v>
      </c>
      <c r="H194" s="1" t="s">
        <v>28</v>
      </c>
      <c r="I194" s="1" t="s">
        <v>28</v>
      </c>
      <c r="J194">
        <v>5</v>
      </c>
      <c r="K194" s="1" t="s">
        <v>36</v>
      </c>
      <c r="L194" s="1" t="s">
        <v>28</v>
      </c>
      <c r="O194" s="1" t="s">
        <v>28</v>
      </c>
      <c r="P194" s="1" t="s">
        <v>44</v>
      </c>
      <c r="Q194" s="1" t="s">
        <v>31</v>
      </c>
      <c r="R194" s="1" t="s">
        <v>38</v>
      </c>
      <c r="S194" s="1" t="s">
        <v>39</v>
      </c>
      <c r="T194" s="1" t="s">
        <v>40</v>
      </c>
      <c r="U194" s="1" t="s">
        <v>32</v>
      </c>
      <c r="V194">
        <v>1944733</v>
      </c>
      <c r="W194" s="1" t="s">
        <v>33</v>
      </c>
      <c r="X194" s="1" t="s">
        <v>28</v>
      </c>
      <c r="Y194" s="1" t="s">
        <v>28</v>
      </c>
      <c r="Z194" s="1" t="s">
        <v>28</v>
      </c>
      <c r="AA194" s="1" t="s">
        <v>28</v>
      </c>
    </row>
    <row r="195" spans="1:27" x14ac:dyDescent="0.35">
      <c r="A195" t="s">
        <v>167</v>
      </c>
      <c r="B195">
        <v>438068</v>
      </c>
      <c r="C195" s="1" t="s">
        <v>28</v>
      </c>
      <c r="D195" s="11">
        <v>2795097.13</v>
      </c>
      <c r="E195" s="1" t="s">
        <v>35</v>
      </c>
      <c r="F195">
        <v>40252</v>
      </c>
      <c r="G195" s="2">
        <v>45991</v>
      </c>
      <c r="H195" s="1" t="s">
        <v>28</v>
      </c>
      <c r="I195" s="1" t="s">
        <v>28</v>
      </c>
      <c r="J195">
        <v>6</v>
      </c>
      <c r="K195" s="1" t="s">
        <v>36</v>
      </c>
      <c r="L195" s="1" t="s">
        <v>28</v>
      </c>
      <c r="O195" s="1" t="s">
        <v>28</v>
      </c>
      <c r="P195" s="1" t="s">
        <v>46</v>
      </c>
      <c r="Q195" s="1" t="s">
        <v>31</v>
      </c>
      <c r="R195" s="1" t="s">
        <v>38</v>
      </c>
      <c r="S195" s="1" t="s">
        <v>39</v>
      </c>
      <c r="T195" s="1" t="s">
        <v>40</v>
      </c>
      <c r="U195" s="1" t="s">
        <v>32</v>
      </c>
      <c r="V195">
        <v>1944733</v>
      </c>
      <c r="W195" s="1" t="s">
        <v>33</v>
      </c>
      <c r="X195" s="1" t="s">
        <v>28</v>
      </c>
      <c r="Y195" s="1" t="s">
        <v>28</v>
      </c>
      <c r="Z195" s="1" t="s">
        <v>28</v>
      </c>
      <c r="AA195" s="1" t="s">
        <v>28</v>
      </c>
    </row>
    <row r="196" spans="1:27" x14ac:dyDescent="0.35">
      <c r="A196" t="s">
        <v>166</v>
      </c>
      <c r="B196">
        <v>327543</v>
      </c>
      <c r="C196" s="1" t="s">
        <v>28</v>
      </c>
      <c r="D196" s="11">
        <v>31559565</v>
      </c>
      <c r="E196" s="1" t="s">
        <v>35</v>
      </c>
      <c r="F196">
        <v>40252</v>
      </c>
      <c r="G196" s="2">
        <v>45991</v>
      </c>
      <c r="H196" s="1" t="s">
        <v>28</v>
      </c>
      <c r="I196" s="1" t="s">
        <v>28</v>
      </c>
      <c r="J196">
        <v>7</v>
      </c>
      <c r="K196" s="1" t="s">
        <v>36</v>
      </c>
      <c r="L196" s="1" t="s">
        <v>28</v>
      </c>
      <c r="O196" s="1" t="s">
        <v>28</v>
      </c>
      <c r="P196" s="1" t="s">
        <v>37</v>
      </c>
      <c r="Q196" s="1" t="s">
        <v>31</v>
      </c>
      <c r="R196" s="1" t="s">
        <v>38</v>
      </c>
      <c r="S196" s="1" t="s">
        <v>39</v>
      </c>
      <c r="T196" s="1" t="s">
        <v>40</v>
      </c>
      <c r="U196" s="1" t="s">
        <v>32</v>
      </c>
      <c r="V196">
        <v>1944733</v>
      </c>
      <c r="W196" s="1" t="s">
        <v>33</v>
      </c>
      <c r="X196" s="1" t="s">
        <v>28</v>
      </c>
      <c r="Y196" s="1" t="s">
        <v>28</v>
      </c>
      <c r="Z196" s="1" t="s">
        <v>28</v>
      </c>
      <c r="AA196" s="1" t="s">
        <v>28</v>
      </c>
    </row>
    <row r="197" spans="1:27" x14ac:dyDescent="0.35">
      <c r="A197" t="s">
        <v>166</v>
      </c>
      <c r="B197">
        <v>439096</v>
      </c>
      <c r="C197" s="1" t="s">
        <v>28</v>
      </c>
      <c r="D197" s="11">
        <v>862827.92</v>
      </c>
      <c r="E197" s="1" t="s">
        <v>35</v>
      </c>
      <c r="F197">
        <v>40252</v>
      </c>
      <c r="G197" s="2">
        <v>45991</v>
      </c>
      <c r="H197" s="1" t="s">
        <v>28</v>
      </c>
      <c r="I197" s="1" t="s">
        <v>28</v>
      </c>
      <c r="J197">
        <v>8</v>
      </c>
      <c r="K197" s="1" t="s">
        <v>36</v>
      </c>
      <c r="L197" s="1" t="s">
        <v>28</v>
      </c>
      <c r="O197" s="1" t="s">
        <v>28</v>
      </c>
      <c r="P197" s="1" t="s">
        <v>47</v>
      </c>
      <c r="Q197" s="1" t="s">
        <v>31</v>
      </c>
      <c r="R197" s="1" t="s">
        <v>38</v>
      </c>
      <c r="S197" s="1" t="s">
        <v>39</v>
      </c>
      <c r="T197" s="1" t="s">
        <v>40</v>
      </c>
      <c r="U197" s="1" t="s">
        <v>32</v>
      </c>
      <c r="V197">
        <v>1944733</v>
      </c>
      <c r="W197" s="1" t="s">
        <v>33</v>
      </c>
      <c r="X197" s="1" t="s">
        <v>28</v>
      </c>
      <c r="Y197" s="1" t="s">
        <v>28</v>
      </c>
      <c r="Z197" s="1" t="s">
        <v>28</v>
      </c>
      <c r="AA197" s="1" t="s">
        <v>28</v>
      </c>
    </row>
    <row r="198" spans="1:27" x14ac:dyDescent="0.35">
      <c r="A198" t="s">
        <v>166</v>
      </c>
      <c r="B198">
        <v>439097</v>
      </c>
      <c r="C198" s="1" t="s">
        <v>28</v>
      </c>
      <c r="D198" s="11">
        <v>4915710.47</v>
      </c>
      <c r="E198" s="1" t="s">
        <v>35</v>
      </c>
      <c r="F198">
        <v>40253</v>
      </c>
      <c r="G198" s="2">
        <v>45991</v>
      </c>
      <c r="H198" s="1" t="s">
        <v>28</v>
      </c>
      <c r="I198" s="1" t="s">
        <v>28</v>
      </c>
      <c r="J198">
        <v>5</v>
      </c>
      <c r="K198" s="1" t="s">
        <v>36</v>
      </c>
      <c r="L198" s="1" t="s">
        <v>28</v>
      </c>
      <c r="O198" s="1" t="s">
        <v>28</v>
      </c>
      <c r="P198" s="1" t="s">
        <v>44</v>
      </c>
      <c r="Q198" s="1" t="s">
        <v>31</v>
      </c>
      <c r="R198" s="1" t="s">
        <v>38</v>
      </c>
      <c r="S198" s="1" t="s">
        <v>41</v>
      </c>
      <c r="T198" s="1" t="s">
        <v>40</v>
      </c>
      <c r="U198" s="1" t="s">
        <v>32</v>
      </c>
      <c r="V198">
        <v>1944733</v>
      </c>
      <c r="W198" s="1" t="s">
        <v>33</v>
      </c>
      <c r="X198" s="1" t="s">
        <v>28</v>
      </c>
      <c r="Y198" s="1" t="s">
        <v>28</v>
      </c>
      <c r="Z198" s="1" t="s">
        <v>28</v>
      </c>
      <c r="AA198" s="1" t="s">
        <v>28</v>
      </c>
    </row>
    <row r="199" spans="1:27" x14ac:dyDescent="0.35">
      <c r="A199" t="s">
        <v>167</v>
      </c>
      <c r="B199">
        <v>438068</v>
      </c>
      <c r="C199" s="1" t="s">
        <v>28</v>
      </c>
      <c r="D199" s="11">
        <v>3073643.54</v>
      </c>
      <c r="E199" s="1" t="s">
        <v>35</v>
      </c>
      <c r="F199">
        <v>40253</v>
      </c>
      <c r="G199" s="2">
        <v>45991</v>
      </c>
      <c r="H199" s="1" t="s">
        <v>28</v>
      </c>
      <c r="I199" s="1" t="s">
        <v>28</v>
      </c>
      <c r="J199">
        <v>6</v>
      </c>
      <c r="K199" s="1" t="s">
        <v>36</v>
      </c>
      <c r="L199" s="1" t="s">
        <v>28</v>
      </c>
      <c r="O199" s="1" t="s">
        <v>28</v>
      </c>
      <c r="P199" s="1" t="s">
        <v>46</v>
      </c>
      <c r="Q199" s="1" t="s">
        <v>31</v>
      </c>
      <c r="R199" s="1" t="s">
        <v>38</v>
      </c>
      <c r="S199" s="1" t="s">
        <v>41</v>
      </c>
      <c r="T199" s="1" t="s">
        <v>40</v>
      </c>
      <c r="U199" s="1" t="s">
        <v>32</v>
      </c>
      <c r="V199">
        <v>1944733</v>
      </c>
      <c r="W199" s="1" t="s">
        <v>33</v>
      </c>
      <c r="X199" s="1" t="s">
        <v>28</v>
      </c>
      <c r="Y199" s="1" t="s">
        <v>28</v>
      </c>
      <c r="Z199" s="1" t="s">
        <v>28</v>
      </c>
      <c r="AA199" s="1" t="s">
        <v>28</v>
      </c>
    </row>
    <row r="200" spans="1:27" x14ac:dyDescent="0.35">
      <c r="A200" t="s">
        <v>166</v>
      </c>
      <c r="B200">
        <v>327543</v>
      </c>
      <c r="C200" s="1" t="s">
        <v>28</v>
      </c>
      <c r="D200" s="11">
        <v>38605780.780000001</v>
      </c>
      <c r="E200" s="1" t="s">
        <v>35</v>
      </c>
      <c r="F200">
        <v>40253</v>
      </c>
      <c r="G200" s="2">
        <v>45991</v>
      </c>
      <c r="H200" s="1" t="s">
        <v>28</v>
      </c>
      <c r="I200" s="1" t="s">
        <v>28</v>
      </c>
      <c r="J200">
        <v>7</v>
      </c>
      <c r="K200" s="1" t="s">
        <v>36</v>
      </c>
      <c r="L200" s="1" t="s">
        <v>28</v>
      </c>
      <c r="O200" s="1" t="s">
        <v>28</v>
      </c>
      <c r="P200" s="1" t="s">
        <v>37</v>
      </c>
      <c r="Q200" s="1" t="s">
        <v>31</v>
      </c>
      <c r="R200" s="1" t="s">
        <v>38</v>
      </c>
      <c r="S200" s="1" t="s">
        <v>41</v>
      </c>
      <c r="T200" s="1" t="s">
        <v>40</v>
      </c>
      <c r="U200" s="1" t="s">
        <v>32</v>
      </c>
      <c r="V200">
        <v>1944733</v>
      </c>
      <c r="W200" s="1" t="s">
        <v>33</v>
      </c>
      <c r="X200" s="1" t="s">
        <v>28</v>
      </c>
      <c r="Y200" s="1" t="s">
        <v>28</v>
      </c>
      <c r="Z200" s="1" t="s">
        <v>28</v>
      </c>
      <c r="AA200" s="1" t="s">
        <v>28</v>
      </c>
    </row>
    <row r="201" spans="1:27" x14ac:dyDescent="0.35">
      <c r="A201" t="s">
        <v>166</v>
      </c>
      <c r="B201">
        <v>439096</v>
      </c>
      <c r="C201" s="1" t="s">
        <v>28</v>
      </c>
      <c r="D201" s="11">
        <v>948813.35</v>
      </c>
      <c r="E201" s="1" t="s">
        <v>35</v>
      </c>
      <c r="F201">
        <v>40253</v>
      </c>
      <c r="G201" s="2">
        <v>45991</v>
      </c>
      <c r="H201" s="1" t="s">
        <v>28</v>
      </c>
      <c r="I201" s="1" t="s">
        <v>28</v>
      </c>
      <c r="J201">
        <v>8</v>
      </c>
      <c r="K201" s="1" t="s">
        <v>36</v>
      </c>
      <c r="L201" s="1" t="s">
        <v>28</v>
      </c>
      <c r="O201" s="1" t="s">
        <v>28</v>
      </c>
      <c r="P201" s="1" t="s">
        <v>47</v>
      </c>
      <c r="Q201" s="1" t="s">
        <v>31</v>
      </c>
      <c r="R201" s="1" t="s">
        <v>38</v>
      </c>
      <c r="S201" s="1" t="s">
        <v>41</v>
      </c>
      <c r="T201" s="1" t="s">
        <v>40</v>
      </c>
      <c r="U201" s="1" t="s">
        <v>32</v>
      </c>
      <c r="V201">
        <v>1944733</v>
      </c>
      <c r="W201" s="1" t="s">
        <v>33</v>
      </c>
      <c r="X201" s="1" t="s">
        <v>28</v>
      </c>
      <c r="Y201" s="1" t="s">
        <v>28</v>
      </c>
      <c r="Z201" s="1" t="s">
        <v>28</v>
      </c>
      <c r="AA201" s="1" t="s">
        <v>28</v>
      </c>
    </row>
    <row r="202" spans="1:27" x14ac:dyDescent="0.35">
      <c r="A202" t="s">
        <v>166</v>
      </c>
      <c r="B202">
        <v>439097</v>
      </c>
      <c r="C202" s="1" t="s">
        <v>28</v>
      </c>
      <c r="D202" s="11">
        <v>7236728.4100000001</v>
      </c>
      <c r="E202" s="1" t="s">
        <v>35</v>
      </c>
      <c r="F202">
        <v>40254</v>
      </c>
      <c r="G202" s="2">
        <v>45991</v>
      </c>
      <c r="H202" s="1" t="s">
        <v>28</v>
      </c>
      <c r="I202" s="1" t="s">
        <v>28</v>
      </c>
      <c r="J202">
        <v>5</v>
      </c>
      <c r="K202" s="1" t="s">
        <v>36</v>
      </c>
      <c r="L202" s="1" t="s">
        <v>28</v>
      </c>
      <c r="O202" s="1" t="s">
        <v>28</v>
      </c>
      <c r="P202" s="1" t="s">
        <v>44</v>
      </c>
      <c r="Q202" s="1" t="s">
        <v>31</v>
      </c>
      <c r="R202" s="1" t="s">
        <v>38</v>
      </c>
      <c r="S202" s="1" t="s">
        <v>39</v>
      </c>
      <c r="T202" s="1" t="s">
        <v>40</v>
      </c>
      <c r="U202" s="1" t="s">
        <v>32</v>
      </c>
      <c r="V202">
        <v>1944733</v>
      </c>
      <c r="W202" s="1" t="s">
        <v>33</v>
      </c>
      <c r="X202" s="1" t="s">
        <v>28</v>
      </c>
      <c r="Y202" s="1" t="s">
        <v>28</v>
      </c>
      <c r="Z202" s="1" t="s">
        <v>28</v>
      </c>
      <c r="AA202" s="1" t="s">
        <v>28</v>
      </c>
    </row>
    <row r="203" spans="1:27" x14ac:dyDescent="0.35">
      <c r="A203" t="s">
        <v>167</v>
      </c>
      <c r="B203">
        <v>438068</v>
      </c>
      <c r="C203" s="1" t="s">
        <v>28</v>
      </c>
      <c r="D203" s="11">
        <v>4524905.13</v>
      </c>
      <c r="E203" s="1" t="s">
        <v>35</v>
      </c>
      <c r="F203">
        <v>40254</v>
      </c>
      <c r="G203" s="2">
        <v>45991</v>
      </c>
      <c r="H203" s="1" t="s">
        <v>28</v>
      </c>
      <c r="I203" s="1" t="s">
        <v>28</v>
      </c>
      <c r="J203">
        <v>6</v>
      </c>
      <c r="K203" s="1" t="s">
        <v>36</v>
      </c>
      <c r="L203" s="1" t="s">
        <v>28</v>
      </c>
      <c r="O203" s="1" t="s">
        <v>28</v>
      </c>
      <c r="P203" s="1" t="s">
        <v>46</v>
      </c>
      <c r="Q203" s="1" t="s">
        <v>31</v>
      </c>
      <c r="R203" s="1" t="s">
        <v>38</v>
      </c>
      <c r="S203" s="1" t="s">
        <v>39</v>
      </c>
      <c r="T203" s="1" t="s">
        <v>40</v>
      </c>
      <c r="U203" s="1" t="s">
        <v>32</v>
      </c>
      <c r="V203">
        <v>1944733</v>
      </c>
      <c r="W203" s="1" t="s">
        <v>33</v>
      </c>
      <c r="X203" s="1" t="s">
        <v>28</v>
      </c>
      <c r="Y203" s="1" t="s">
        <v>28</v>
      </c>
      <c r="Z203" s="1" t="s">
        <v>28</v>
      </c>
      <c r="AA203" s="1" t="s">
        <v>28</v>
      </c>
    </row>
    <row r="204" spans="1:27" x14ac:dyDescent="0.35">
      <c r="A204" t="s">
        <v>166</v>
      </c>
      <c r="B204">
        <v>327543</v>
      </c>
      <c r="C204" s="1" t="s">
        <v>28</v>
      </c>
      <c r="D204" s="11">
        <v>50169631.420000002</v>
      </c>
      <c r="E204" s="1" t="s">
        <v>35</v>
      </c>
      <c r="F204">
        <v>40254</v>
      </c>
      <c r="G204" s="2">
        <v>45991</v>
      </c>
      <c r="H204" s="1" t="s">
        <v>28</v>
      </c>
      <c r="I204" s="1" t="s">
        <v>28</v>
      </c>
      <c r="J204">
        <v>7</v>
      </c>
      <c r="K204" s="1" t="s">
        <v>36</v>
      </c>
      <c r="L204" s="1" t="s">
        <v>28</v>
      </c>
      <c r="O204" s="1" t="s">
        <v>28</v>
      </c>
      <c r="P204" s="1" t="s">
        <v>37</v>
      </c>
      <c r="Q204" s="1" t="s">
        <v>31</v>
      </c>
      <c r="R204" s="1" t="s">
        <v>38</v>
      </c>
      <c r="S204" s="1" t="s">
        <v>39</v>
      </c>
      <c r="T204" s="1" t="s">
        <v>40</v>
      </c>
      <c r="U204" s="1" t="s">
        <v>32</v>
      </c>
      <c r="V204">
        <v>1944733</v>
      </c>
      <c r="W204" s="1" t="s">
        <v>33</v>
      </c>
      <c r="X204" s="1" t="s">
        <v>28</v>
      </c>
      <c r="Y204" s="1" t="s">
        <v>28</v>
      </c>
      <c r="Z204" s="1" t="s">
        <v>28</v>
      </c>
      <c r="AA204" s="1" t="s">
        <v>28</v>
      </c>
    </row>
    <row r="205" spans="1:27" x14ac:dyDescent="0.35">
      <c r="A205" t="s">
        <v>166</v>
      </c>
      <c r="B205">
        <v>439096</v>
      </c>
      <c r="C205" s="1" t="s">
        <v>28</v>
      </c>
      <c r="D205" s="11">
        <v>1396808.17</v>
      </c>
      <c r="E205" s="1" t="s">
        <v>35</v>
      </c>
      <c r="F205">
        <v>40254</v>
      </c>
      <c r="G205" s="2">
        <v>45991</v>
      </c>
      <c r="H205" s="1" t="s">
        <v>28</v>
      </c>
      <c r="I205" s="1" t="s">
        <v>28</v>
      </c>
      <c r="J205">
        <v>8</v>
      </c>
      <c r="K205" s="1" t="s">
        <v>36</v>
      </c>
      <c r="L205" s="1" t="s">
        <v>28</v>
      </c>
      <c r="O205" s="1" t="s">
        <v>28</v>
      </c>
      <c r="P205" s="1" t="s">
        <v>47</v>
      </c>
      <c r="Q205" s="1" t="s">
        <v>31</v>
      </c>
      <c r="R205" s="1" t="s">
        <v>38</v>
      </c>
      <c r="S205" s="1" t="s">
        <v>39</v>
      </c>
      <c r="T205" s="1" t="s">
        <v>40</v>
      </c>
      <c r="U205" s="1" t="s">
        <v>32</v>
      </c>
      <c r="V205">
        <v>1944733</v>
      </c>
      <c r="W205" s="1" t="s">
        <v>33</v>
      </c>
      <c r="X205" s="1" t="s">
        <v>28</v>
      </c>
      <c r="Y205" s="1" t="s">
        <v>28</v>
      </c>
      <c r="Z205" s="1" t="s">
        <v>28</v>
      </c>
      <c r="AA205" s="1" t="s">
        <v>28</v>
      </c>
    </row>
    <row r="206" spans="1:27" x14ac:dyDescent="0.35">
      <c r="A206" t="s">
        <v>166</v>
      </c>
      <c r="B206">
        <v>439097</v>
      </c>
      <c r="C206" s="1" t="s">
        <v>28</v>
      </c>
      <c r="D206" s="11">
        <v>4578928.47</v>
      </c>
      <c r="E206" s="1" t="s">
        <v>35</v>
      </c>
      <c r="F206">
        <v>40255</v>
      </c>
      <c r="G206" s="2">
        <v>45991</v>
      </c>
      <c r="H206" s="1" t="s">
        <v>28</v>
      </c>
      <c r="I206" s="1" t="s">
        <v>28</v>
      </c>
      <c r="J206">
        <v>5</v>
      </c>
      <c r="K206" s="1" t="s">
        <v>36</v>
      </c>
      <c r="L206" s="1" t="s">
        <v>28</v>
      </c>
      <c r="O206" s="1" t="s">
        <v>28</v>
      </c>
      <c r="P206" s="1" t="s">
        <v>44</v>
      </c>
      <c r="Q206" s="1" t="s">
        <v>31</v>
      </c>
      <c r="R206" s="1" t="s">
        <v>38</v>
      </c>
      <c r="S206" s="1" t="s">
        <v>43</v>
      </c>
      <c r="T206" s="1" t="s">
        <v>40</v>
      </c>
      <c r="U206" s="1" t="s">
        <v>32</v>
      </c>
      <c r="V206">
        <v>1944733</v>
      </c>
      <c r="W206" s="1" t="s">
        <v>33</v>
      </c>
      <c r="X206" s="1" t="s">
        <v>28</v>
      </c>
      <c r="Y206" s="1" t="s">
        <v>28</v>
      </c>
      <c r="Z206" s="1" t="s">
        <v>28</v>
      </c>
      <c r="AA206" s="1" t="s">
        <v>28</v>
      </c>
    </row>
    <row r="207" spans="1:27" x14ac:dyDescent="0.35">
      <c r="A207" t="s">
        <v>167</v>
      </c>
      <c r="B207">
        <v>438068</v>
      </c>
      <c r="C207" s="1" t="s">
        <v>28</v>
      </c>
      <c r="D207" s="11">
        <v>2863064.04</v>
      </c>
      <c r="E207" s="1" t="s">
        <v>35</v>
      </c>
      <c r="F207">
        <v>40255</v>
      </c>
      <c r="G207" s="2">
        <v>45991</v>
      </c>
      <c r="H207" s="1" t="s">
        <v>28</v>
      </c>
      <c r="I207" s="1" t="s">
        <v>28</v>
      </c>
      <c r="J207">
        <v>6</v>
      </c>
      <c r="K207" s="1" t="s">
        <v>36</v>
      </c>
      <c r="L207" s="1" t="s">
        <v>28</v>
      </c>
      <c r="O207" s="1" t="s">
        <v>28</v>
      </c>
      <c r="P207" s="1" t="s">
        <v>46</v>
      </c>
      <c r="Q207" s="1" t="s">
        <v>31</v>
      </c>
      <c r="R207" s="1" t="s">
        <v>38</v>
      </c>
      <c r="S207" s="1" t="s">
        <v>43</v>
      </c>
      <c r="T207" s="1" t="s">
        <v>40</v>
      </c>
      <c r="U207" s="1" t="s">
        <v>32</v>
      </c>
      <c r="V207">
        <v>1944733</v>
      </c>
      <c r="W207" s="1" t="s">
        <v>33</v>
      </c>
      <c r="X207" s="1" t="s">
        <v>28</v>
      </c>
      <c r="Y207" s="1" t="s">
        <v>28</v>
      </c>
      <c r="Z207" s="1" t="s">
        <v>28</v>
      </c>
      <c r="AA207" s="1" t="s">
        <v>28</v>
      </c>
    </row>
    <row r="208" spans="1:27" x14ac:dyDescent="0.35">
      <c r="A208" t="s">
        <v>166</v>
      </c>
      <c r="B208">
        <v>327543</v>
      </c>
      <c r="C208" s="1" t="s">
        <v>28</v>
      </c>
      <c r="D208" s="11">
        <v>29463386.329999998</v>
      </c>
      <c r="E208" s="1" t="s">
        <v>35</v>
      </c>
      <c r="F208">
        <v>40255</v>
      </c>
      <c r="G208" s="2">
        <v>45991</v>
      </c>
      <c r="H208" s="1" t="s">
        <v>28</v>
      </c>
      <c r="I208" s="1" t="s">
        <v>28</v>
      </c>
      <c r="J208">
        <v>7</v>
      </c>
      <c r="K208" s="1" t="s">
        <v>36</v>
      </c>
      <c r="L208" s="1" t="s">
        <v>28</v>
      </c>
      <c r="O208" s="1" t="s">
        <v>28</v>
      </c>
      <c r="P208" s="1" t="s">
        <v>37</v>
      </c>
      <c r="Q208" s="1" t="s">
        <v>31</v>
      </c>
      <c r="R208" s="1" t="s">
        <v>38</v>
      </c>
      <c r="S208" s="1" t="s">
        <v>43</v>
      </c>
      <c r="T208" s="1" t="s">
        <v>40</v>
      </c>
      <c r="U208" s="1" t="s">
        <v>32</v>
      </c>
      <c r="V208">
        <v>1944733</v>
      </c>
      <c r="W208" s="1" t="s">
        <v>33</v>
      </c>
      <c r="X208" s="1" t="s">
        <v>28</v>
      </c>
      <c r="Y208" s="1" t="s">
        <v>28</v>
      </c>
      <c r="Z208" s="1" t="s">
        <v>28</v>
      </c>
      <c r="AA208" s="1" t="s">
        <v>28</v>
      </c>
    </row>
    <row r="209" spans="1:27" x14ac:dyDescent="0.35">
      <c r="A209" t="s">
        <v>166</v>
      </c>
      <c r="B209">
        <v>439096</v>
      </c>
      <c r="C209" s="1" t="s">
        <v>28</v>
      </c>
      <c r="D209" s="11">
        <v>883808.86</v>
      </c>
      <c r="E209" s="1" t="s">
        <v>35</v>
      </c>
      <c r="F209">
        <v>40255</v>
      </c>
      <c r="G209" s="2">
        <v>45991</v>
      </c>
      <c r="H209" s="1" t="s">
        <v>28</v>
      </c>
      <c r="I209" s="1" t="s">
        <v>28</v>
      </c>
      <c r="J209">
        <v>8</v>
      </c>
      <c r="K209" s="1" t="s">
        <v>36</v>
      </c>
      <c r="L209" s="1" t="s">
        <v>28</v>
      </c>
      <c r="O209" s="1" t="s">
        <v>28</v>
      </c>
      <c r="P209" s="1" t="s">
        <v>47</v>
      </c>
      <c r="Q209" s="1" t="s">
        <v>31</v>
      </c>
      <c r="R209" s="1" t="s">
        <v>38</v>
      </c>
      <c r="S209" s="1" t="s">
        <v>43</v>
      </c>
      <c r="T209" s="1" t="s">
        <v>40</v>
      </c>
      <c r="U209" s="1" t="s">
        <v>32</v>
      </c>
      <c r="V209">
        <v>1944733</v>
      </c>
      <c r="W209" s="1" t="s">
        <v>33</v>
      </c>
      <c r="X209" s="1" t="s">
        <v>28</v>
      </c>
      <c r="Y209" s="1" t="s">
        <v>28</v>
      </c>
      <c r="Z209" s="1" t="s">
        <v>28</v>
      </c>
      <c r="AA209" s="1" t="s">
        <v>28</v>
      </c>
    </row>
    <row r="210" spans="1:27" x14ac:dyDescent="0.35">
      <c r="A210" t="s">
        <v>166</v>
      </c>
      <c r="B210">
        <v>439097</v>
      </c>
      <c r="C210" s="1" t="s">
        <v>28</v>
      </c>
      <c r="D210" s="11">
        <v>2853328.5</v>
      </c>
      <c r="E210" s="1" t="s">
        <v>35</v>
      </c>
      <c r="F210">
        <v>40256</v>
      </c>
      <c r="G210" s="2">
        <v>45991</v>
      </c>
      <c r="H210" s="1" t="s">
        <v>28</v>
      </c>
      <c r="I210" s="1" t="s">
        <v>28</v>
      </c>
      <c r="J210">
        <v>5</v>
      </c>
      <c r="K210" s="1" t="s">
        <v>36</v>
      </c>
      <c r="L210" s="1" t="s">
        <v>28</v>
      </c>
      <c r="O210" s="1" t="s">
        <v>28</v>
      </c>
      <c r="P210" s="1" t="s">
        <v>44</v>
      </c>
      <c r="Q210" s="1" t="s">
        <v>31</v>
      </c>
      <c r="R210" s="1" t="s">
        <v>38</v>
      </c>
      <c r="S210" s="1" t="s">
        <v>45</v>
      </c>
      <c r="T210" s="1" t="s">
        <v>40</v>
      </c>
      <c r="U210" s="1" t="s">
        <v>32</v>
      </c>
      <c r="V210">
        <v>1944733</v>
      </c>
      <c r="W210" s="1" t="s">
        <v>33</v>
      </c>
      <c r="X210" s="1" t="s">
        <v>28</v>
      </c>
      <c r="Y210" s="1" t="s">
        <v>28</v>
      </c>
      <c r="Z210" s="1" t="s">
        <v>28</v>
      </c>
      <c r="AA210" s="1" t="s">
        <v>28</v>
      </c>
    </row>
    <row r="211" spans="1:27" x14ac:dyDescent="0.35">
      <c r="A211" t="s">
        <v>167</v>
      </c>
      <c r="B211">
        <v>438068</v>
      </c>
      <c r="C211" s="1" t="s">
        <v>28</v>
      </c>
      <c r="D211" s="11">
        <v>1784099.12</v>
      </c>
      <c r="E211" s="1" t="s">
        <v>35</v>
      </c>
      <c r="F211">
        <v>40256</v>
      </c>
      <c r="G211" s="2">
        <v>45991</v>
      </c>
      <c r="H211" s="1" t="s">
        <v>28</v>
      </c>
      <c r="I211" s="1" t="s">
        <v>28</v>
      </c>
      <c r="J211">
        <v>6</v>
      </c>
      <c r="K211" s="1" t="s">
        <v>36</v>
      </c>
      <c r="L211" s="1" t="s">
        <v>28</v>
      </c>
      <c r="O211" s="1" t="s">
        <v>28</v>
      </c>
      <c r="P211" s="1" t="s">
        <v>46</v>
      </c>
      <c r="Q211" s="1" t="s">
        <v>31</v>
      </c>
      <c r="R211" s="1" t="s">
        <v>38</v>
      </c>
      <c r="S211" s="1" t="s">
        <v>45</v>
      </c>
      <c r="T211" s="1" t="s">
        <v>40</v>
      </c>
      <c r="U211" s="1" t="s">
        <v>32</v>
      </c>
      <c r="V211">
        <v>1944733</v>
      </c>
      <c r="W211" s="1" t="s">
        <v>33</v>
      </c>
      <c r="X211" s="1" t="s">
        <v>28</v>
      </c>
      <c r="Y211" s="1" t="s">
        <v>28</v>
      </c>
      <c r="Z211" s="1" t="s">
        <v>28</v>
      </c>
      <c r="AA211" s="1" t="s">
        <v>28</v>
      </c>
    </row>
    <row r="212" spans="1:27" x14ac:dyDescent="0.35">
      <c r="A212" t="s">
        <v>166</v>
      </c>
      <c r="B212">
        <v>327543</v>
      </c>
      <c r="C212" s="1" t="s">
        <v>28</v>
      </c>
      <c r="D212" s="11">
        <v>17811283.239999998</v>
      </c>
      <c r="E212" s="1" t="s">
        <v>35</v>
      </c>
      <c r="F212">
        <v>40256</v>
      </c>
      <c r="G212" s="2">
        <v>45991</v>
      </c>
      <c r="H212" s="1" t="s">
        <v>28</v>
      </c>
      <c r="I212" s="1" t="s">
        <v>28</v>
      </c>
      <c r="J212">
        <v>7</v>
      </c>
      <c r="K212" s="1" t="s">
        <v>36</v>
      </c>
      <c r="L212" s="1" t="s">
        <v>28</v>
      </c>
      <c r="O212" s="1" t="s">
        <v>28</v>
      </c>
      <c r="P212" s="1" t="s">
        <v>37</v>
      </c>
      <c r="Q212" s="1" t="s">
        <v>31</v>
      </c>
      <c r="R212" s="1" t="s">
        <v>38</v>
      </c>
      <c r="S212" s="1" t="s">
        <v>45</v>
      </c>
      <c r="T212" s="1" t="s">
        <v>40</v>
      </c>
      <c r="U212" s="1" t="s">
        <v>32</v>
      </c>
      <c r="V212">
        <v>1944733</v>
      </c>
      <c r="W212" s="1" t="s">
        <v>33</v>
      </c>
      <c r="X212" s="1" t="s">
        <v>28</v>
      </c>
      <c r="Y212" s="1" t="s">
        <v>28</v>
      </c>
      <c r="Z212" s="1" t="s">
        <v>28</v>
      </c>
      <c r="AA212" s="1" t="s">
        <v>28</v>
      </c>
    </row>
    <row r="213" spans="1:27" x14ac:dyDescent="0.35">
      <c r="A213" t="s">
        <v>166</v>
      </c>
      <c r="B213">
        <v>439096</v>
      </c>
      <c r="C213" s="1" t="s">
        <v>28</v>
      </c>
      <c r="D213" s="11">
        <v>550739.55000000005</v>
      </c>
      <c r="E213" s="1" t="s">
        <v>35</v>
      </c>
      <c r="F213">
        <v>40256</v>
      </c>
      <c r="G213" s="2">
        <v>45991</v>
      </c>
      <c r="H213" s="1" t="s">
        <v>28</v>
      </c>
      <c r="I213" s="1" t="s">
        <v>28</v>
      </c>
      <c r="J213">
        <v>8</v>
      </c>
      <c r="K213" s="1" t="s">
        <v>36</v>
      </c>
      <c r="L213" s="1" t="s">
        <v>28</v>
      </c>
      <c r="O213" s="1" t="s">
        <v>28</v>
      </c>
      <c r="P213" s="1" t="s">
        <v>47</v>
      </c>
      <c r="Q213" s="1" t="s">
        <v>31</v>
      </c>
      <c r="R213" s="1" t="s">
        <v>38</v>
      </c>
      <c r="S213" s="1" t="s">
        <v>45</v>
      </c>
      <c r="T213" s="1" t="s">
        <v>40</v>
      </c>
      <c r="U213" s="1" t="s">
        <v>32</v>
      </c>
      <c r="V213">
        <v>1944733</v>
      </c>
      <c r="W213" s="1" t="s">
        <v>33</v>
      </c>
      <c r="X213" s="1" t="s">
        <v>28</v>
      </c>
      <c r="Y213" s="1" t="s">
        <v>28</v>
      </c>
      <c r="Z213" s="1" t="s">
        <v>28</v>
      </c>
      <c r="AA213" s="1" t="s">
        <v>28</v>
      </c>
    </row>
    <row r="214" spans="1:27" x14ac:dyDescent="0.35">
      <c r="A214" t="s">
        <v>166</v>
      </c>
      <c r="B214">
        <v>439097</v>
      </c>
      <c r="C214" s="1" t="s">
        <v>28</v>
      </c>
      <c r="D214" s="11">
        <v>1930276.09</v>
      </c>
      <c r="E214" s="1" t="s">
        <v>35</v>
      </c>
      <c r="F214">
        <v>40257</v>
      </c>
      <c r="G214" s="2">
        <v>45991</v>
      </c>
      <c r="H214" s="1" t="s">
        <v>28</v>
      </c>
      <c r="I214" s="1" t="s">
        <v>28</v>
      </c>
      <c r="J214">
        <v>5</v>
      </c>
      <c r="K214" s="1" t="s">
        <v>36</v>
      </c>
      <c r="L214" s="1" t="s">
        <v>28</v>
      </c>
      <c r="O214" s="1" t="s">
        <v>28</v>
      </c>
      <c r="P214" s="1" t="s">
        <v>44</v>
      </c>
      <c r="Q214" s="1" t="s">
        <v>31</v>
      </c>
      <c r="R214" s="1" t="s">
        <v>38</v>
      </c>
      <c r="S214" s="1" t="s">
        <v>48</v>
      </c>
      <c r="T214" s="1" t="s">
        <v>40</v>
      </c>
      <c r="U214" s="1" t="s">
        <v>32</v>
      </c>
      <c r="V214">
        <v>1944733</v>
      </c>
      <c r="W214" s="1" t="s">
        <v>33</v>
      </c>
      <c r="X214" s="1" t="s">
        <v>28</v>
      </c>
      <c r="Y214" s="1" t="s">
        <v>28</v>
      </c>
      <c r="Z214" s="1" t="s">
        <v>28</v>
      </c>
      <c r="AA214" s="1" t="s">
        <v>28</v>
      </c>
    </row>
    <row r="215" spans="1:27" x14ac:dyDescent="0.35">
      <c r="A215" t="s">
        <v>167</v>
      </c>
      <c r="B215">
        <v>438068</v>
      </c>
      <c r="C215" s="1" t="s">
        <v>28</v>
      </c>
      <c r="D215" s="11">
        <v>1206942.6499999999</v>
      </c>
      <c r="E215" s="1" t="s">
        <v>35</v>
      </c>
      <c r="F215">
        <v>40257</v>
      </c>
      <c r="G215" s="2">
        <v>45991</v>
      </c>
      <c r="H215" s="1" t="s">
        <v>28</v>
      </c>
      <c r="I215" s="1" t="s">
        <v>28</v>
      </c>
      <c r="J215">
        <v>6</v>
      </c>
      <c r="K215" s="1" t="s">
        <v>36</v>
      </c>
      <c r="L215" s="1" t="s">
        <v>28</v>
      </c>
      <c r="O215" s="1" t="s">
        <v>28</v>
      </c>
      <c r="P215" s="1" t="s">
        <v>46</v>
      </c>
      <c r="Q215" s="1" t="s">
        <v>31</v>
      </c>
      <c r="R215" s="1" t="s">
        <v>38</v>
      </c>
      <c r="S215" s="1" t="s">
        <v>48</v>
      </c>
      <c r="T215" s="1" t="s">
        <v>40</v>
      </c>
      <c r="U215" s="1" t="s">
        <v>32</v>
      </c>
      <c r="V215">
        <v>1944733</v>
      </c>
      <c r="W215" s="1" t="s">
        <v>33</v>
      </c>
      <c r="X215" s="1" t="s">
        <v>28</v>
      </c>
      <c r="Y215" s="1" t="s">
        <v>28</v>
      </c>
      <c r="Z215" s="1" t="s">
        <v>28</v>
      </c>
      <c r="AA215" s="1" t="s">
        <v>28</v>
      </c>
    </row>
    <row r="216" spans="1:27" x14ac:dyDescent="0.35">
      <c r="A216" t="s">
        <v>166</v>
      </c>
      <c r="B216">
        <v>327543</v>
      </c>
      <c r="C216" s="1" t="s">
        <v>28</v>
      </c>
      <c r="D216" s="11">
        <v>12343186.09</v>
      </c>
      <c r="E216" s="1" t="s">
        <v>35</v>
      </c>
      <c r="F216">
        <v>40257</v>
      </c>
      <c r="G216" s="2">
        <v>45991</v>
      </c>
      <c r="H216" s="1" t="s">
        <v>28</v>
      </c>
      <c r="I216" s="1" t="s">
        <v>28</v>
      </c>
      <c r="J216">
        <v>7</v>
      </c>
      <c r="K216" s="1" t="s">
        <v>36</v>
      </c>
      <c r="L216" s="1" t="s">
        <v>28</v>
      </c>
      <c r="O216" s="1" t="s">
        <v>28</v>
      </c>
      <c r="P216" s="1" t="s">
        <v>37</v>
      </c>
      <c r="Q216" s="1" t="s">
        <v>31</v>
      </c>
      <c r="R216" s="1" t="s">
        <v>38</v>
      </c>
      <c r="S216" s="1" t="s">
        <v>48</v>
      </c>
      <c r="T216" s="1" t="s">
        <v>40</v>
      </c>
      <c r="U216" s="1" t="s">
        <v>32</v>
      </c>
      <c r="V216">
        <v>1944733</v>
      </c>
      <c r="W216" s="1" t="s">
        <v>33</v>
      </c>
      <c r="X216" s="1" t="s">
        <v>28</v>
      </c>
      <c r="Y216" s="1" t="s">
        <v>28</v>
      </c>
      <c r="Z216" s="1" t="s">
        <v>28</v>
      </c>
      <c r="AA216" s="1" t="s">
        <v>28</v>
      </c>
    </row>
    <row r="217" spans="1:27" x14ac:dyDescent="0.35">
      <c r="A217" t="s">
        <v>166</v>
      </c>
      <c r="B217">
        <v>439096</v>
      </c>
      <c r="C217" s="1" t="s">
        <v>28</v>
      </c>
      <c r="D217" s="11">
        <v>372575.18</v>
      </c>
      <c r="E217" s="1" t="s">
        <v>35</v>
      </c>
      <c r="F217">
        <v>40257</v>
      </c>
      <c r="G217" s="2">
        <v>45991</v>
      </c>
      <c r="H217" s="1" t="s">
        <v>28</v>
      </c>
      <c r="I217" s="1" t="s">
        <v>28</v>
      </c>
      <c r="J217">
        <v>8</v>
      </c>
      <c r="K217" s="1" t="s">
        <v>36</v>
      </c>
      <c r="L217" s="1" t="s">
        <v>28</v>
      </c>
      <c r="O217" s="1" t="s">
        <v>28</v>
      </c>
      <c r="P217" s="1" t="s">
        <v>47</v>
      </c>
      <c r="Q217" s="1" t="s">
        <v>31</v>
      </c>
      <c r="R217" s="1" t="s">
        <v>38</v>
      </c>
      <c r="S217" s="1" t="s">
        <v>48</v>
      </c>
      <c r="T217" s="1" t="s">
        <v>40</v>
      </c>
      <c r="U217" s="1" t="s">
        <v>32</v>
      </c>
      <c r="V217">
        <v>1944733</v>
      </c>
      <c r="W217" s="1" t="s">
        <v>33</v>
      </c>
      <c r="X217" s="1" t="s">
        <v>28</v>
      </c>
      <c r="Y217" s="1" t="s">
        <v>28</v>
      </c>
      <c r="Z217" s="1" t="s">
        <v>28</v>
      </c>
      <c r="AA217" s="1" t="s">
        <v>28</v>
      </c>
    </row>
    <row r="218" spans="1:27" x14ac:dyDescent="0.35">
      <c r="A218" t="s">
        <v>166</v>
      </c>
      <c r="B218">
        <v>439097</v>
      </c>
      <c r="C218" s="1" t="s">
        <v>28</v>
      </c>
      <c r="D218" s="11">
        <v>7240833.6500000004</v>
      </c>
      <c r="E218" s="1" t="s">
        <v>35</v>
      </c>
      <c r="F218">
        <v>40258</v>
      </c>
      <c r="G218" s="2">
        <v>45991</v>
      </c>
      <c r="H218" s="1" t="s">
        <v>28</v>
      </c>
      <c r="I218" s="1" t="s">
        <v>28</v>
      </c>
      <c r="J218">
        <v>5</v>
      </c>
      <c r="K218" s="1" t="s">
        <v>36</v>
      </c>
      <c r="L218" s="1" t="s">
        <v>28</v>
      </c>
      <c r="O218" s="1" t="s">
        <v>28</v>
      </c>
      <c r="P218" s="1" t="s">
        <v>44</v>
      </c>
      <c r="Q218" s="1" t="s">
        <v>31</v>
      </c>
      <c r="R218" s="1" t="s">
        <v>38</v>
      </c>
      <c r="S218" s="1" t="s">
        <v>45</v>
      </c>
      <c r="T218" s="1" t="s">
        <v>40</v>
      </c>
      <c r="U218" s="1" t="s">
        <v>32</v>
      </c>
      <c r="V218">
        <v>1944733</v>
      </c>
      <c r="W218" s="1" t="s">
        <v>33</v>
      </c>
      <c r="X218" s="1" t="s">
        <v>28</v>
      </c>
      <c r="Y218" s="1" t="s">
        <v>28</v>
      </c>
      <c r="Z218" s="1" t="s">
        <v>28</v>
      </c>
      <c r="AA218" s="1" t="s">
        <v>28</v>
      </c>
    </row>
    <row r="219" spans="1:27" x14ac:dyDescent="0.35">
      <c r="A219" t="s">
        <v>167</v>
      </c>
      <c r="B219">
        <v>438068</v>
      </c>
      <c r="C219" s="1" t="s">
        <v>28</v>
      </c>
      <c r="D219" s="11">
        <v>4527472.01</v>
      </c>
      <c r="E219" s="1" t="s">
        <v>35</v>
      </c>
      <c r="F219">
        <v>40258</v>
      </c>
      <c r="G219" s="2">
        <v>45991</v>
      </c>
      <c r="H219" s="1" t="s">
        <v>28</v>
      </c>
      <c r="I219" s="1" t="s">
        <v>28</v>
      </c>
      <c r="J219">
        <v>6</v>
      </c>
      <c r="K219" s="1" t="s">
        <v>36</v>
      </c>
      <c r="L219" s="1" t="s">
        <v>28</v>
      </c>
      <c r="O219" s="1" t="s">
        <v>28</v>
      </c>
      <c r="P219" s="1" t="s">
        <v>46</v>
      </c>
      <c r="Q219" s="1" t="s">
        <v>31</v>
      </c>
      <c r="R219" s="1" t="s">
        <v>38</v>
      </c>
      <c r="S219" s="1" t="s">
        <v>45</v>
      </c>
      <c r="T219" s="1" t="s">
        <v>40</v>
      </c>
      <c r="U219" s="1" t="s">
        <v>32</v>
      </c>
      <c r="V219">
        <v>1944733</v>
      </c>
      <c r="W219" s="1" t="s">
        <v>33</v>
      </c>
      <c r="X219" s="1" t="s">
        <v>28</v>
      </c>
      <c r="Y219" s="1" t="s">
        <v>28</v>
      </c>
      <c r="Z219" s="1" t="s">
        <v>28</v>
      </c>
      <c r="AA219" s="1" t="s">
        <v>28</v>
      </c>
    </row>
    <row r="220" spans="1:27" x14ac:dyDescent="0.35">
      <c r="A220" t="s">
        <v>166</v>
      </c>
      <c r="B220">
        <v>327543</v>
      </c>
      <c r="C220" s="1" t="s">
        <v>28</v>
      </c>
      <c r="D220" s="11">
        <v>47822409.259999998</v>
      </c>
      <c r="E220" s="1" t="s">
        <v>35</v>
      </c>
      <c r="F220">
        <v>40258</v>
      </c>
      <c r="G220" s="2">
        <v>45991</v>
      </c>
      <c r="H220" s="1" t="s">
        <v>28</v>
      </c>
      <c r="I220" s="1" t="s">
        <v>28</v>
      </c>
      <c r="J220">
        <v>7</v>
      </c>
      <c r="K220" s="1" t="s">
        <v>36</v>
      </c>
      <c r="L220" s="1" t="s">
        <v>28</v>
      </c>
      <c r="O220" s="1" t="s">
        <v>28</v>
      </c>
      <c r="P220" s="1" t="s">
        <v>37</v>
      </c>
      <c r="Q220" s="1" t="s">
        <v>31</v>
      </c>
      <c r="R220" s="1" t="s">
        <v>38</v>
      </c>
      <c r="S220" s="1" t="s">
        <v>45</v>
      </c>
      <c r="T220" s="1" t="s">
        <v>40</v>
      </c>
      <c r="U220" s="1" t="s">
        <v>32</v>
      </c>
      <c r="V220">
        <v>1944733</v>
      </c>
      <c r="W220" s="1" t="s">
        <v>33</v>
      </c>
      <c r="X220" s="1" t="s">
        <v>28</v>
      </c>
      <c r="Y220" s="1" t="s">
        <v>28</v>
      </c>
      <c r="Z220" s="1" t="s">
        <v>28</v>
      </c>
      <c r="AA220" s="1" t="s">
        <v>28</v>
      </c>
    </row>
    <row r="221" spans="1:27" x14ac:dyDescent="0.35">
      <c r="A221" t="s">
        <v>166</v>
      </c>
      <c r="B221">
        <v>439096</v>
      </c>
      <c r="C221" s="1" t="s">
        <v>28</v>
      </c>
      <c r="D221" s="11">
        <v>1397600.54</v>
      </c>
      <c r="E221" s="1" t="s">
        <v>35</v>
      </c>
      <c r="F221">
        <v>40258</v>
      </c>
      <c r="G221" s="2">
        <v>45991</v>
      </c>
      <c r="H221" s="1" t="s">
        <v>28</v>
      </c>
      <c r="I221" s="1" t="s">
        <v>28</v>
      </c>
      <c r="J221">
        <v>8</v>
      </c>
      <c r="K221" s="1" t="s">
        <v>36</v>
      </c>
      <c r="L221" s="1" t="s">
        <v>28</v>
      </c>
      <c r="O221" s="1" t="s">
        <v>28</v>
      </c>
      <c r="P221" s="1" t="s">
        <v>47</v>
      </c>
      <c r="Q221" s="1" t="s">
        <v>31</v>
      </c>
      <c r="R221" s="1" t="s">
        <v>38</v>
      </c>
      <c r="S221" s="1" t="s">
        <v>45</v>
      </c>
      <c r="T221" s="1" t="s">
        <v>40</v>
      </c>
      <c r="U221" s="1" t="s">
        <v>32</v>
      </c>
      <c r="V221">
        <v>1944733</v>
      </c>
      <c r="W221" s="1" t="s">
        <v>33</v>
      </c>
      <c r="X221" s="1" t="s">
        <v>28</v>
      </c>
      <c r="Y221" s="1" t="s">
        <v>28</v>
      </c>
      <c r="Z221" s="1" t="s">
        <v>28</v>
      </c>
      <c r="AA221" s="1" t="s">
        <v>28</v>
      </c>
    </row>
    <row r="222" spans="1:27" x14ac:dyDescent="0.35">
      <c r="A222" t="s">
        <v>166</v>
      </c>
      <c r="B222">
        <v>439097</v>
      </c>
      <c r="C222" s="1" t="s">
        <v>28</v>
      </c>
      <c r="D222" s="11">
        <v>8125368.54</v>
      </c>
      <c r="E222" s="1" t="s">
        <v>35</v>
      </c>
      <c r="F222">
        <v>40259</v>
      </c>
      <c r="G222" s="2">
        <v>45991</v>
      </c>
      <c r="H222" s="1" t="s">
        <v>28</v>
      </c>
      <c r="I222" s="1" t="s">
        <v>28</v>
      </c>
      <c r="J222">
        <v>5</v>
      </c>
      <c r="K222" s="1" t="s">
        <v>36</v>
      </c>
      <c r="L222" s="1" t="s">
        <v>28</v>
      </c>
      <c r="O222" s="1" t="s">
        <v>28</v>
      </c>
      <c r="P222" s="1" t="s">
        <v>44</v>
      </c>
      <c r="Q222" s="1" t="s">
        <v>31</v>
      </c>
      <c r="R222" s="1" t="s">
        <v>38</v>
      </c>
      <c r="S222" s="1" t="s">
        <v>49</v>
      </c>
      <c r="T222" s="1" t="s">
        <v>40</v>
      </c>
      <c r="U222" s="1" t="s">
        <v>32</v>
      </c>
      <c r="V222">
        <v>1944733</v>
      </c>
      <c r="W222" s="1" t="s">
        <v>33</v>
      </c>
      <c r="X222" s="1" t="s">
        <v>28</v>
      </c>
      <c r="Y222" s="1" t="s">
        <v>28</v>
      </c>
      <c r="Z222" s="1" t="s">
        <v>28</v>
      </c>
      <c r="AA222" s="1" t="s">
        <v>28</v>
      </c>
    </row>
    <row r="223" spans="1:27" x14ac:dyDescent="0.35">
      <c r="A223" t="s">
        <v>167</v>
      </c>
      <c r="B223">
        <v>438068</v>
      </c>
      <c r="C223" s="1" t="s">
        <v>28</v>
      </c>
      <c r="D223" s="11">
        <v>5080544.6399999997</v>
      </c>
      <c r="E223" s="1" t="s">
        <v>35</v>
      </c>
      <c r="F223">
        <v>40259</v>
      </c>
      <c r="G223" s="2">
        <v>45991</v>
      </c>
      <c r="H223" s="1" t="s">
        <v>28</v>
      </c>
      <c r="I223" s="1" t="s">
        <v>28</v>
      </c>
      <c r="J223">
        <v>6</v>
      </c>
      <c r="K223" s="1" t="s">
        <v>36</v>
      </c>
      <c r="L223" s="1" t="s">
        <v>28</v>
      </c>
      <c r="O223" s="1" t="s">
        <v>28</v>
      </c>
      <c r="P223" s="1" t="s">
        <v>46</v>
      </c>
      <c r="Q223" s="1" t="s">
        <v>31</v>
      </c>
      <c r="R223" s="1" t="s">
        <v>38</v>
      </c>
      <c r="S223" s="1" t="s">
        <v>49</v>
      </c>
      <c r="T223" s="1" t="s">
        <v>40</v>
      </c>
      <c r="U223" s="1" t="s">
        <v>32</v>
      </c>
      <c r="V223">
        <v>1944733</v>
      </c>
      <c r="W223" s="1" t="s">
        <v>33</v>
      </c>
      <c r="X223" s="1" t="s">
        <v>28</v>
      </c>
      <c r="Y223" s="1" t="s">
        <v>28</v>
      </c>
      <c r="Z223" s="1" t="s">
        <v>28</v>
      </c>
      <c r="AA223" s="1" t="s">
        <v>28</v>
      </c>
    </row>
    <row r="224" spans="1:27" x14ac:dyDescent="0.35">
      <c r="A224" t="s">
        <v>166</v>
      </c>
      <c r="B224">
        <v>327543</v>
      </c>
      <c r="C224" s="1" t="s">
        <v>28</v>
      </c>
      <c r="D224" s="11">
        <v>51996570.43</v>
      </c>
      <c r="E224" s="1" t="s">
        <v>35</v>
      </c>
      <c r="F224">
        <v>40259</v>
      </c>
      <c r="G224" s="2">
        <v>45991</v>
      </c>
      <c r="H224" s="1" t="s">
        <v>28</v>
      </c>
      <c r="I224" s="1" t="s">
        <v>28</v>
      </c>
      <c r="J224">
        <v>7</v>
      </c>
      <c r="K224" s="1" t="s">
        <v>36</v>
      </c>
      <c r="L224" s="1" t="s">
        <v>28</v>
      </c>
      <c r="O224" s="1" t="s">
        <v>28</v>
      </c>
      <c r="P224" s="1" t="s">
        <v>37</v>
      </c>
      <c r="Q224" s="1" t="s">
        <v>31</v>
      </c>
      <c r="R224" s="1" t="s">
        <v>38</v>
      </c>
      <c r="S224" s="1" t="s">
        <v>49</v>
      </c>
      <c r="T224" s="1" t="s">
        <v>40</v>
      </c>
      <c r="U224" s="1" t="s">
        <v>32</v>
      </c>
      <c r="V224">
        <v>1944733</v>
      </c>
      <c r="W224" s="1" t="s">
        <v>33</v>
      </c>
      <c r="X224" s="1" t="s">
        <v>28</v>
      </c>
      <c r="Y224" s="1" t="s">
        <v>28</v>
      </c>
      <c r="Z224" s="1" t="s">
        <v>28</v>
      </c>
      <c r="AA224" s="1" t="s">
        <v>28</v>
      </c>
    </row>
    <row r="225" spans="1:27" x14ac:dyDescent="0.35">
      <c r="A225" t="s">
        <v>166</v>
      </c>
      <c r="B225">
        <v>439096</v>
      </c>
      <c r="C225" s="1" t="s">
        <v>28</v>
      </c>
      <c r="D225" s="11">
        <v>1568330.39</v>
      </c>
      <c r="E225" s="1" t="s">
        <v>35</v>
      </c>
      <c r="F225">
        <v>40259</v>
      </c>
      <c r="G225" s="2">
        <v>45991</v>
      </c>
      <c r="H225" s="1" t="s">
        <v>28</v>
      </c>
      <c r="I225" s="1" t="s">
        <v>28</v>
      </c>
      <c r="J225">
        <v>8</v>
      </c>
      <c r="K225" s="1" t="s">
        <v>36</v>
      </c>
      <c r="L225" s="1" t="s">
        <v>28</v>
      </c>
      <c r="O225" s="1" t="s">
        <v>28</v>
      </c>
      <c r="P225" s="1" t="s">
        <v>47</v>
      </c>
      <c r="Q225" s="1" t="s">
        <v>31</v>
      </c>
      <c r="R225" s="1" t="s">
        <v>38</v>
      </c>
      <c r="S225" s="1" t="s">
        <v>49</v>
      </c>
      <c r="T225" s="1" t="s">
        <v>40</v>
      </c>
      <c r="U225" s="1" t="s">
        <v>32</v>
      </c>
      <c r="V225">
        <v>1944733</v>
      </c>
      <c r="W225" s="1" t="s">
        <v>33</v>
      </c>
      <c r="X225" s="1" t="s">
        <v>28</v>
      </c>
      <c r="Y225" s="1" t="s">
        <v>28</v>
      </c>
      <c r="Z225" s="1" t="s">
        <v>28</v>
      </c>
      <c r="AA225" s="1" t="s">
        <v>28</v>
      </c>
    </row>
    <row r="226" spans="1:27" x14ac:dyDescent="0.35">
      <c r="A226" t="s">
        <v>166</v>
      </c>
      <c r="B226">
        <v>439097</v>
      </c>
      <c r="C226" s="1" t="s">
        <v>28</v>
      </c>
      <c r="D226" s="11">
        <v>1893887.13</v>
      </c>
      <c r="E226" s="1" t="s">
        <v>35</v>
      </c>
      <c r="F226">
        <v>40261</v>
      </c>
      <c r="G226" s="2">
        <v>45991</v>
      </c>
      <c r="H226" s="1" t="s">
        <v>28</v>
      </c>
      <c r="I226" s="1" t="s">
        <v>28</v>
      </c>
      <c r="J226">
        <v>7</v>
      </c>
      <c r="K226" s="1" t="s">
        <v>36</v>
      </c>
      <c r="L226" s="1" t="s">
        <v>28</v>
      </c>
      <c r="O226" s="1" t="s">
        <v>28</v>
      </c>
      <c r="P226" s="1" t="s">
        <v>44</v>
      </c>
      <c r="Q226" s="1" t="s">
        <v>31</v>
      </c>
      <c r="R226" s="1" t="s">
        <v>38</v>
      </c>
      <c r="S226" s="1" t="s">
        <v>45</v>
      </c>
      <c r="T226" s="1" t="s">
        <v>40</v>
      </c>
      <c r="U226" s="1" t="s">
        <v>32</v>
      </c>
      <c r="V226">
        <v>1944733</v>
      </c>
      <c r="W226" s="1" t="s">
        <v>33</v>
      </c>
      <c r="X226" s="1" t="s">
        <v>28</v>
      </c>
      <c r="Y226" s="1" t="s">
        <v>28</v>
      </c>
      <c r="Z226" s="1" t="s">
        <v>28</v>
      </c>
      <c r="AA226" s="1" t="s">
        <v>28</v>
      </c>
    </row>
    <row r="227" spans="1:27" x14ac:dyDescent="0.35">
      <c r="A227" t="s">
        <v>165</v>
      </c>
      <c r="B227">
        <v>456149</v>
      </c>
      <c r="C227" s="1" t="s">
        <v>28</v>
      </c>
      <c r="D227" s="11">
        <v>5796121.7199999997</v>
      </c>
      <c r="E227" s="1" t="s">
        <v>35</v>
      </c>
      <c r="F227">
        <v>40261</v>
      </c>
      <c r="G227" s="2">
        <v>45991</v>
      </c>
      <c r="H227" s="1" t="s">
        <v>28</v>
      </c>
      <c r="I227" s="1" t="s">
        <v>28</v>
      </c>
      <c r="J227">
        <v>8</v>
      </c>
      <c r="K227" s="1" t="s">
        <v>36</v>
      </c>
      <c r="L227" s="1" t="s">
        <v>28</v>
      </c>
      <c r="O227" s="1" t="s">
        <v>28</v>
      </c>
      <c r="P227" s="1" t="s">
        <v>50</v>
      </c>
      <c r="Q227" s="1" t="s">
        <v>31</v>
      </c>
      <c r="R227" s="1" t="s">
        <v>38</v>
      </c>
      <c r="S227" s="1" t="s">
        <v>45</v>
      </c>
      <c r="T227" s="1" t="s">
        <v>40</v>
      </c>
      <c r="U227" s="1" t="s">
        <v>32</v>
      </c>
      <c r="V227">
        <v>1944733</v>
      </c>
      <c r="W227" s="1" t="s">
        <v>33</v>
      </c>
      <c r="X227" s="1" t="s">
        <v>28</v>
      </c>
      <c r="Y227" s="1" t="s">
        <v>28</v>
      </c>
      <c r="Z227" s="1" t="s">
        <v>28</v>
      </c>
      <c r="AA227" s="1" t="s">
        <v>28</v>
      </c>
    </row>
    <row r="228" spans="1:27" x14ac:dyDescent="0.35">
      <c r="A228" t="s">
        <v>167</v>
      </c>
      <c r="B228">
        <v>438068</v>
      </c>
      <c r="C228" s="1" t="s">
        <v>28</v>
      </c>
      <c r="D228" s="11">
        <v>1184189.75</v>
      </c>
      <c r="E228" s="1" t="s">
        <v>35</v>
      </c>
      <c r="F228">
        <v>40261</v>
      </c>
      <c r="G228" s="2">
        <v>45991</v>
      </c>
      <c r="H228" s="1" t="s">
        <v>28</v>
      </c>
      <c r="I228" s="1" t="s">
        <v>28</v>
      </c>
      <c r="J228">
        <v>9</v>
      </c>
      <c r="K228" s="1" t="s">
        <v>36</v>
      </c>
      <c r="L228" s="1" t="s">
        <v>28</v>
      </c>
      <c r="O228" s="1" t="s">
        <v>28</v>
      </c>
      <c r="P228" s="1" t="s">
        <v>46</v>
      </c>
      <c r="Q228" s="1" t="s">
        <v>31</v>
      </c>
      <c r="R228" s="1" t="s">
        <v>38</v>
      </c>
      <c r="S228" s="1" t="s">
        <v>45</v>
      </c>
      <c r="T228" s="1" t="s">
        <v>40</v>
      </c>
      <c r="U228" s="1" t="s">
        <v>32</v>
      </c>
      <c r="V228">
        <v>1944733</v>
      </c>
      <c r="W228" s="1" t="s">
        <v>33</v>
      </c>
      <c r="X228" s="1" t="s">
        <v>28</v>
      </c>
      <c r="Y228" s="1" t="s">
        <v>28</v>
      </c>
      <c r="Z228" s="1" t="s">
        <v>28</v>
      </c>
      <c r="AA228" s="1" t="s">
        <v>28</v>
      </c>
    </row>
    <row r="229" spans="1:27" x14ac:dyDescent="0.35">
      <c r="A229" t="s">
        <v>166</v>
      </c>
      <c r="B229">
        <v>327543</v>
      </c>
      <c r="C229" s="1" t="s">
        <v>28</v>
      </c>
      <c r="D229" s="11">
        <v>12620002.92</v>
      </c>
      <c r="E229" s="1" t="s">
        <v>35</v>
      </c>
      <c r="F229">
        <v>40261</v>
      </c>
      <c r="G229" s="2">
        <v>45991</v>
      </c>
      <c r="H229" s="1" t="s">
        <v>28</v>
      </c>
      <c r="I229" s="1" t="s">
        <v>28</v>
      </c>
      <c r="J229">
        <v>10</v>
      </c>
      <c r="K229" s="1" t="s">
        <v>36</v>
      </c>
      <c r="L229" s="1" t="s">
        <v>28</v>
      </c>
      <c r="O229" s="1" t="s">
        <v>28</v>
      </c>
      <c r="P229" s="1" t="s">
        <v>37</v>
      </c>
      <c r="Q229" s="1" t="s">
        <v>31</v>
      </c>
      <c r="R229" s="1" t="s">
        <v>38</v>
      </c>
      <c r="S229" s="1" t="s">
        <v>45</v>
      </c>
      <c r="T229" s="1" t="s">
        <v>40</v>
      </c>
      <c r="U229" s="1" t="s">
        <v>32</v>
      </c>
      <c r="V229">
        <v>1944733</v>
      </c>
      <c r="W229" s="1" t="s">
        <v>33</v>
      </c>
      <c r="X229" s="1" t="s">
        <v>28</v>
      </c>
      <c r="Y229" s="1" t="s">
        <v>28</v>
      </c>
      <c r="Z229" s="1" t="s">
        <v>28</v>
      </c>
      <c r="AA229" s="1" t="s">
        <v>28</v>
      </c>
    </row>
    <row r="230" spans="1:27" x14ac:dyDescent="0.35">
      <c r="A230" t="s">
        <v>166</v>
      </c>
      <c r="B230">
        <v>439096</v>
      </c>
      <c r="C230" s="1" t="s">
        <v>28</v>
      </c>
      <c r="D230" s="11">
        <v>365551.51</v>
      </c>
      <c r="E230" s="1" t="s">
        <v>35</v>
      </c>
      <c r="F230">
        <v>40261</v>
      </c>
      <c r="G230" s="2">
        <v>45991</v>
      </c>
      <c r="H230" s="1" t="s">
        <v>28</v>
      </c>
      <c r="I230" s="1" t="s">
        <v>28</v>
      </c>
      <c r="J230">
        <v>11</v>
      </c>
      <c r="K230" s="1" t="s">
        <v>36</v>
      </c>
      <c r="L230" s="1" t="s">
        <v>28</v>
      </c>
      <c r="O230" s="1" t="s">
        <v>28</v>
      </c>
      <c r="P230" s="1" t="s">
        <v>47</v>
      </c>
      <c r="Q230" s="1" t="s">
        <v>31</v>
      </c>
      <c r="R230" s="1" t="s">
        <v>38</v>
      </c>
      <c r="S230" s="1" t="s">
        <v>45</v>
      </c>
      <c r="T230" s="1" t="s">
        <v>40</v>
      </c>
      <c r="U230" s="1" t="s">
        <v>32</v>
      </c>
      <c r="V230">
        <v>1944733</v>
      </c>
      <c r="W230" s="1" t="s">
        <v>33</v>
      </c>
      <c r="X230" s="1" t="s">
        <v>28</v>
      </c>
      <c r="Y230" s="1" t="s">
        <v>28</v>
      </c>
      <c r="Z230" s="1" t="s">
        <v>28</v>
      </c>
      <c r="AA230" s="1" t="s">
        <v>28</v>
      </c>
    </row>
    <row r="231" spans="1:27" x14ac:dyDescent="0.35">
      <c r="A231" t="s">
        <v>165</v>
      </c>
      <c r="B231">
        <v>457691</v>
      </c>
      <c r="C231" s="1" t="s">
        <v>28</v>
      </c>
      <c r="D231" s="11">
        <v>750596.97</v>
      </c>
      <c r="E231" s="1" t="s">
        <v>35</v>
      </c>
      <c r="F231">
        <v>40261</v>
      </c>
      <c r="G231" s="2">
        <v>45991</v>
      </c>
      <c r="H231" s="1" t="s">
        <v>28</v>
      </c>
      <c r="I231" s="1" t="s">
        <v>28</v>
      </c>
      <c r="J231">
        <v>12</v>
      </c>
      <c r="K231" s="1" t="s">
        <v>36</v>
      </c>
      <c r="L231" s="1" t="s">
        <v>28</v>
      </c>
      <c r="O231" s="1" t="s">
        <v>28</v>
      </c>
      <c r="P231" s="1" t="s">
        <v>51</v>
      </c>
      <c r="Q231" s="1" t="s">
        <v>31</v>
      </c>
      <c r="R231" s="1" t="s">
        <v>38</v>
      </c>
      <c r="S231" s="1" t="s">
        <v>45</v>
      </c>
      <c r="T231" s="1" t="s">
        <v>40</v>
      </c>
      <c r="U231" s="1" t="s">
        <v>32</v>
      </c>
      <c r="V231">
        <v>1944733</v>
      </c>
      <c r="W231" s="1" t="s">
        <v>33</v>
      </c>
      <c r="X231" s="1" t="s">
        <v>28</v>
      </c>
      <c r="Y231" s="1" t="s">
        <v>28</v>
      </c>
      <c r="Z231" s="1" t="s">
        <v>28</v>
      </c>
      <c r="AA231" s="1" t="s">
        <v>28</v>
      </c>
    </row>
    <row r="232" spans="1:27" x14ac:dyDescent="0.35">
      <c r="A232" t="s">
        <v>166</v>
      </c>
      <c r="B232">
        <v>439097</v>
      </c>
      <c r="C232" s="1" t="s">
        <v>28</v>
      </c>
      <c r="D232" s="11">
        <v>3677394.68</v>
      </c>
      <c r="E232" s="1" t="s">
        <v>35</v>
      </c>
      <c r="F232">
        <v>40262</v>
      </c>
      <c r="G232" s="2">
        <v>45991</v>
      </c>
      <c r="H232" s="1" t="s">
        <v>28</v>
      </c>
      <c r="I232" s="1" t="s">
        <v>28</v>
      </c>
      <c r="J232">
        <v>7</v>
      </c>
      <c r="K232" s="1" t="s">
        <v>36</v>
      </c>
      <c r="L232" s="1" t="s">
        <v>28</v>
      </c>
      <c r="O232" s="1" t="s">
        <v>28</v>
      </c>
      <c r="P232" s="1" t="s">
        <v>44</v>
      </c>
      <c r="Q232" s="1" t="s">
        <v>31</v>
      </c>
      <c r="R232" s="1" t="s">
        <v>38</v>
      </c>
      <c r="S232" s="1" t="s">
        <v>45</v>
      </c>
      <c r="T232" s="1" t="s">
        <v>40</v>
      </c>
      <c r="U232" s="1" t="s">
        <v>32</v>
      </c>
      <c r="V232">
        <v>1944733</v>
      </c>
      <c r="W232" s="1" t="s">
        <v>33</v>
      </c>
      <c r="X232" s="1" t="s">
        <v>28</v>
      </c>
      <c r="Y232" s="1" t="s">
        <v>28</v>
      </c>
      <c r="Z232" s="1" t="s">
        <v>28</v>
      </c>
      <c r="AA232" s="1" t="s">
        <v>28</v>
      </c>
    </row>
    <row r="233" spans="1:27" x14ac:dyDescent="0.35">
      <c r="A233" t="s">
        <v>165</v>
      </c>
      <c r="B233">
        <v>456149</v>
      </c>
      <c r="C233" s="1" t="s">
        <v>28</v>
      </c>
      <c r="D233" s="11">
        <v>11254433.73</v>
      </c>
      <c r="E233" s="1" t="s">
        <v>35</v>
      </c>
      <c r="F233">
        <v>40262</v>
      </c>
      <c r="G233" s="2">
        <v>45991</v>
      </c>
      <c r="H233" s="1" t="s">
        <v>28</v>
      </c>
      <c r="I233" s="1" t="s">
        <v>28</v>
      </c>
      <c r="J233">
        <v>8</v>
      </c>
      <c r="K233" s="1" t="s">
        <v>36</v>
      </c>
      <c r="L233" s="1" t="s">
        <v>28</v>
      </c>
      <c r="O233" s="1" t="s">
        <v>28</v>
      </c>
      <c r="P233" s="1" t="s">
        <v>50</v>
      </c>
      <c r="Q233" s="1" t="s">
        <v>31</v>
      </c>
      <c r="R233" s="1" t="s">
        <v>38</v>
      </c>
      <c r="S233" s="1" t="s">
        <v>45</v>
      </c>
      <c r="T233" s="1" t="s">
        <v>40</v>
      </c>
      <c r="U233" s="1" t="s">
        <v>32</v>
      </c>
      <c r="V233">
        <v>1944733</v>
      </c>
      <c r="W233" s="1" t="s">
        <v>33</v>
      </c>
      <c r="X233" s="1" t="s">
        <v>28</v>
      </c>
      <c r="Y233" s="1" t="s">
        <v>28</v>
      </c>
      <c r="Z233" s="1" t="s">
        <v>28</v>
      </c>
      <c r="AA233" s="1" t="s">
        <v>28</v>
      </c>
    </row>
    <row r="234" spans="1:27" x14ac:dyDescent="0.35">
      <c r="A234" t="s">
        <v>167</v>
      </c>
      <c r="B234">
        <v>438068</v>
      </c>
      <c r="C234" s="1" t="s">
        <v>28</v>
      </c>
      <c r="D234" s="11">
        <v>2299362.52</v>
      </c>
      <c r="E234" s="1" t="s">
        <v>35</v>
      </c>
      <c r="F234">
        <v>40262</v>
      </c>
      <c r="G234" s="2">
        <v>45991</v>
      </c>
      <c r="H234" s="1" t="s">
        <v>28</v>
      </c>
      <c r="I234" s="1" t="s">
        <v>28</v>
      </c>
      <c r="J234">
        <v>9</v>
      </c>
      <c r="K234" s="1" t="s">
        <v>36</v>
      </c>
      <c r="L234" s="1" t="s">
        <v>28</v>
      </c>
      <c r="O234" s="1" t="s">
        <v>28</v>
      </c>
      <c r="P234" s="1" t="s">
        <v>46</v>
      </c>
      <c r="Q234" s="1" t="s">
        <v>31</v>
      </c>
      <c r="R234" s="1" t="s">
        <v>38</v>
      </c>
      <c r="S234" s="1" t="s">
        <v>45</v>
      </c>
      <c r="T234" s="1" t="s">
        <v>40</v>
      </c>
      <c r="U234" s="1" t="s">
        <v>32</v>
      </c>
      <c r="V234">
        <v>1944733</v>
      </c>
      <c r="W234" s="1" t="s">
        <v>33</v>
      </c>
      <c r="X234" s="1" t="s">
        <v>28</v>
      </c>
      <c r="Y234" s="1" t="s">
        <v>28</v>
      </c>
      <c r="Z234" s="1" t="s">
        <v>28</v>
      </c>
      <c r="AA234" s="1" t="s">
        <v>28</v>
      </c>
    </row>
    <row r="235" spans="1:27" x14ac:dyDescent="0.35">
      <c r="A235" t="s">
        <v>166</v>
      </c>
      <c r="B235">
        <v>327543</v>
      </c>
      <c r="C235" s="1" t="s">
        <v>28</v>
      </c>
      <c r="D235" s="11">
        <v>24486620.859999999</v>
      </c>
      <c r="E235" s="1" t="s">
        <v>35</v>
      </c>
      <c r="F235">
        <v>40262</v>
      </c>
      <c r="G235" s="2">
        <v>45991</v>
      </c>
      <c r="H235" s="1" t="s">
        <v>28</v>
      </c>
      <c r="I235" s="1" t="s">
        <v>28</v>
      </c>
      <c r="J235">
        <v>10</v>
      </c>
      <c r="K235" s="1" t="s">
        <v>36</v>
      </c>
      <c r="L235" s="1" t="s">
        <v>28</v>
      </c>
      <c r="O235" s="1" t="s">
        <v>28</v>
      </c>
      <c r="P235" s="1" t="s">
        <v>37</v>
      </c>
      <c r="Q235" s="1" t="s">
        <v>31</v>
      </c>
      <c r="R235" s="1" t="s">
        <v>38</v>
      </c>
      <c r="S235" s="1" t="s">
        <v>45</v>
      </c>
      <c r="T235" s="1" t="s">
        <v>40</v>
      </c>
      <c r="U235" s="1" t="s">
        <v>32</v>
      </c>
      <c r="V235">
        <v>1944733</v>
      </c>
      <c r="W235" s="1" t="s">
        <v>33</v>
      </c>
      <c r="X235" s="1" t="s">
        <v>28</v>
      </c>
      <c r="Y235" s="1" t="s">
        <v>28</v>
      </c>
      <c r="Z235" s="1" t="s">
        <v>28</v>
      </c>
      <c r="AA235" s="1" t="s">
        <v>28</v>
      </c>
    </row>
    <row r="236" spans="1:27" x14ac:dyDescent="0.35">
      <c r="A236" t="s">
        <v>166</v>
      </c>
      <c r="B236">
        <v>439096</v>
      </c>
      <c r="C236" s="1" t="s">
        <v>28</v>
      </c>
      <c r="D236" s="11">
        <v>709797.94</v>
      </c>
      <c r="E236" s="1" t="s">
        <v>35</v>
      </c>
      <c r="F236">
        <v>40262</v>
      </c>
      <c r="G236" s="2">
        <v>45991</v>
      </c>
      <c r="H236" s="1" t="s">
        <v>28</v>
      </c>
      <c r="I236" s="1" t="s">
        <v>28</v>
      </c>
      <c r="J236">
        <v>11</v>
      </c>
      <c r="K236" s="1" t="s">
        <v>36</v>
      </c>
      <c r="L236" s="1" t="s">
        <v>28</v>
      </c>
      <c r="O236" s="1" t="s">
        <v>28</v>
      </c>
      <c r="P236" s="1" t="s">
        <v>47</v>
      </c>
      <c r="Q236" s="1" t="s">
        <v>31</v>
      </c>
      <c r="R236" s="1" t="s">
        <v>38</v>
      </c>
      <c r="S236" s="1" t="s">
        <v>45</v>
      </c>
      <c r="T236" s="1" t="s">
        <v>40</v>
      </c>
      <c r="U236" s="1" t="s">
        <v>32</v>
      </c>
      <c r="V236">
        <v>1944733</v>
      </c>
      <c r="W236" s="1" t="s">
        <v>33</v>
      </c>
      <c r="X236" s="1" t="s">
        <v>28</v>
      </c>
      <c r="Y236" s="1" t="s">
        <v>28</v>
      </c>
      <c r="Z236" s="1" t="s">
        <v>28</v>
      </c>
      <c r="AA236" s="1" t="s">
        <v>28</v>
      </c>
    </row>
    <row r="237" spans="1:27" x14ac:dyDescent="0.35">
      <c r="A237" t="s">
        <v>165</v>
      </c>
      <c r="B237">
        <v>457691</v>
      </c>
      <c r="C237" s="1" t="s">
        <v>28</v>
      </c>
      <c r="D237" s="11">
        <v>1457447.62</v>
      </c>
      <c r="E237" s="1" t="s">
        <v>35</v>
      </c>
      <c r="F237">
        <v>40262</v>
      </c>
      <c r="G237" s="2">
        <v>45991</v>
      </c>
      <c r="H237" s="1" t="s">
        <v>28</v>
      </c>
      <c r="I237" s="1" t="s">
        <v>28</v>
      </c>
      <c r="J237">
        <v>12</v>
      </c>
      <c r="K237" s="1" t="s">
        <v>36</v>
      </c>
      <c r="L237" s="1" t="s">
        <v>28</v>
      </c>
      <c r="O237" s="1" t="s">
        <v>28</v>
      </c>
      <c r="P237" s="1" t="s">
        <v>51</v>
      </c>
      <c r="Q237" s="1" t="s">
        <v>31</v>
      </c>
      <c r="R237" s="1" t="s">
        <v>38</v>
      </c>
      <c r="S237" s="1" t="s">
        <v>45</v>
      </c>
      <c r="T237" s="1" t="s">
        <v>40</v>
      </c>
      <c r="U237" s="1" t="s">
        <v>32</v>
      </c>
      <c r="V237">
        <v>1944733</v>
      </c>
      <c r="W237" s="1" t="s">
        <v>33</v>
      </c>
      <c r="X237" s="1" t="s">
        <v>28</v>
      </c>
      <c r="Y237" s="1" t="s">
        <v>28</v>
      </c>
      <c r="Z237" s="1" t="s">
        <v>28</v>
      </c>
      <c r="AA237" s="1" t="s">
        <v>28</v>
      </c>
    </row>
    <row r="238" spans="1:27" x14ac:dyDescent="0.35">
      <c r="A238" t="s">
        <v>166</v>
      </c>
      <c r="B238">
        <v>439097</v>
      </c>
      <c r="C238" s="1" t="s">
        <v>28</v>
      </c>
      <c r="D238" s="11">
        <v>937338.13</v>
      </c>
      <c r="E238" s="1" t="s">
        <v>35</v>
      </c>
      <c r="F238">
        <v>40263</v>
      </c>
      <c r="G238" s="2">
        <v>45991</v>
      </c>
      <c r="H238" s="1" t="s">
        <v>28</v>
      </c>
      <c r="I238" s="1" t="s">
        <v>28</v>
      </c>
      <c r="J238">
        <v>8</v>
      </c>
      <c r="K238" s="1" t="s">
        <v>36</v>
      </c>
      <c r="L238" s="1" t="s">
        <v>28</v>
      </c>
      <c r="O238" s="1" t="s">
        <v>28</v>
      </c>
      <c r="P238" s="1" t="s">
        <v>44</v>
      </c>
      <c r="Q238" s="1" t="s">
        <v>31</v>
      </c>
      <c r="R238" s="1" t="s">
        <v>38</v>
      </c>
      <c r="S238" s="1" t="s">
        <v>48</v>
      </c>
      <c r="T238" s="1" t="s">
        <v>40</v>
      </c>
      <c r="U238" s="1" t="s">
        <v>32</v>
      </c>
      <c r="V238">
        <v>1944733</v>
      </c>
      <c r="W238" s="1" t="s">
        <v>33</v>
      </c>
      <c r="X238" s="1" t="s">
        <v>28</v>
      </c>
      <c r="Y238" s="1" t="s">
        <v>28</v>
      </c>
      <c r="Z238" s="1" t="s">
        <v>28</v>
      </c>
      <c r="AA238" s="1" t="s">
        <v>28</v>
      </c>
    </row>
    <row r="239" spans="1:27" x14ac:dyDescent="0.35">
      <c r="A239" t="s">
        <v>167</v>
      </c>
      <c r="B239">
        <v>459382</v>
      </c>
      <c r="C239" s="1" t="s">
        <v>28</v>
      </c>
      <c r="D239" s="11">
        <v>1774671.92</v>
      </c>
      <c r="E239" s="1" t="s">
        <v>35</v>
      </c>
      <c r="F239">
        <v>40263</v>
      </c>
      <c r="G239" s="2">
        <v>45991</v>
      </c>
      <c r="H239" s="1" t="s">
        <v>28</v>
      </c>
      <c r="I239" s="1" t="s">
        <v>28</v>
      </c>
      <c r="J239">
        <v>9</v>
      </c>
      <c r="K239" s="1" t="s">
        <v>36</v>
      </c>
      <c r="L239" s="1" t="s">
        <v>28</v>
      </c>
      <c r="O239" s="1" t="s">
        <v>28</v>
      </c>
      <c r="P239" s="1" t="s">
        <v>52</v>
      </c>
      <c r="Q239" s="1" t="s">
        <v>31</v>
      </c>
      <c r="R239" s="1" t="s">
        <v>38</v>
      </c>
      <c r="S239" s="1" t="s">
        <v>48</v>
      </c>
      <c r="T239" s="1" t="s">
        <v>40</v>
      </c>
      <c r="U239" s="1" t="s">
        <v>32</v>
      </c>
      <c r="V239">
        <v>1944733</v>
      </c>
      <c r="W239" s="1" t="s">
        <v>33</v>
      </c>
      <c r="X239" s="1" t="s">
        <v>28</v>
      </c>
      <c r="Y239" s="1" t="s">
        <v>28</v>
      </c>
      <c r="Z239" s="1" t="s">
        <v>28</v>
      </c>
      <c r="AA239" s="1" t="s">
        <v>28</v>
      </c>
    </row>
    <row r="240" spans="1:27" x14ac:dyDescent="0.35">
      <c r="A240" t="s">
        <v>165</v>
      </c>
      <c r="B240">
        <v>456149</v>
      </c>
      <c r="C240" s="1" t="s">
        <v>28</v>
      </c>
      <c r="D240" s="11">
        <v>2868664.04</v>
      </c>
      <c r="E240" s="1" t="s">
        <v>35</v>
      </c>
      <c r="F240">
        <v>40263</v>
      </c>
      <c r="G240" s="2">
        <v>45991</v>
      </c>
      <c r="H240" s="1" t="s">
        <v>28</v>
      </c>
      <c r="I240" s="1" t="s">
        <v>28</v>
      </c>
      <c r="J240">
        <v>10</v>
      </c>
      <c r="K240" s="1" t="s">
        <v>36</v>
      </c>
      <c r="L240" s="1" t="s">
        <v>28</v>
      </c>
      <c r="O240" s="1" t="s">
        <v>28</v>
      </c>
      <c r="P240" s="1" t="s">
        <v>50</v>
      </c>
      <c r="Q240" s="1" t="s">
        <v>31</v>
      </c>
      <c r="R240" s="1" t="s">
        <v>38</v>
      </c>
      <c r="S240" s="1" t="s">
        <v>48</v>
      </c>
      <c r="T240" s="1" t="s">
        <v>40</v>
      </c>
      <c r="U240" s="1" t="s">
        <v>32</v>
      </c>
      <c r="V240">
        <v>1944733</v>
      </c>
      <c r="W240" s="1" t="s">
        <v>33</v>
      </c>
      <c r="X240" s="1" t="s">
        <v>28</v>
      </c>
      <c r="Y240" s="1" t="s">
        <v>28</v>
      </c>
      <c r="Z240" s="1" t="s">
        <v>28</v>
      </c>
      <c r="AA240" s="1" t="s">
        <v>28</v>
      </c>
    </row>
    <row r="241" spans="1:27" x14ac:dyDescent="0.35">
      <c r="A241" t="s">
        <v>167</v>
      </c>
      <c r="B241">
        <v>438068</v>
      </c>
      <c r="C241" s="1" t="s">
        <v>28</v>
      </c>
      <c r="D241" s="11">
        <v>586088.89</v>
      </c>
      <c r="E241" s="1" t="s">
        <v>35</v>
      </c>
      <c r="F241">
        <v>40263</v>
      </c>
      <c r="G241" s="2">
        <v>45991</v>
      </c>
      <c r="H241" s="1" t="s">
        <v>28</v>
      </c>
      <c r="I241" s="1" t="s">
        <v>28</v>
      </c>
      <c r="J241">
        <v>11</v>
      </c>
      <c r="K241" s="1" t="s">
        <v>36</v>
      </c>
      <c r="L241" s="1" t="s">
        <v>28</v>
      </c>
      <c r="O241" s="1" t="s">
        <v>28</v>
      </c>
      <c r="P241" s="1" t="s">
        <v>46</v>
      </c>
      <c r="Q241" s="1" t="s">
        <v>31</v>
      </c>
      <c r="R241" s="1" t="s">
        <v>38</v>
      </c>
      <c r="S241" s="1" t="s">
        <v>48</v>
      </c>
      <c r="T241" s="1" t="s">
        <v>40</v>
      </c>
      <c r="U241" s="1" t="s">
        <v>32</v>
      </c>
      <c r="V241">
        <v>1944733</v>
      </c>
      <c r="W241" s="1" t="s">
        <v>33</v>
      </c>
      <c r="X241" s="1" t="s">
        <v>28</v>
      </c>
      <c r="Y241" s="1" t="s">
        <v>28</v>
      </c>
      <c r="Z241" s="1" t="s">
        <v>28</v>
      </c>
      <c r="AA241" s="1" t="s">
        <v>28</v>
      </c>
    </row>
    <row r="242" spans="1:27" x14ac:dyDescent="0.35">
      <c r="A242" t="s">
        <v>166</v>
      </c>
      <c r="B242">
        <v>327543</v>
      </c>
      <c r="C242" s="1" t="s">
        <v>28</v>
      </c>
      <c r="D242" s="11">
        <v>5538765</v>
      </c>
      <c r="E242" s="1" t="s">
        <v>35</v>
      </c>
      <c r="F242">
        <v>40263</v>
      </c>
      <c r="G242" s="2">
        <v>45991</v>
      </c>
      <c r="H242" s="1" t="s">
        <v>28</v>
      </c>
      <c r="I242" s="1" t="s">
        <v>28</v>
      </c>
      <c r="J242">
        <v>12</v>
      </c>
      <c r="K242" s="1" t="s">
        <v>36</v>
      </c>
      <c r="L242" s="1" t="s">
        <v>28</v>
      </c>
      <c r="O242" s="1" t="s">
        <v>28</v>
      </c>
      <c r="P242" s="1" t="s">
        <v>37</v>
      </c>
      <c r="Q242" s="1" t="s">
        <v>31</v>
      </c>
      <c r="R242" s="1" t="s">
        <v>38</v>
      </c>
      <c r="S242" s="1" t="s">
        <v>48</v>
      </c>
      <c r="T242" s="1" t="s">
        <v>40</v>
      </c>
      <c r="U242" s="1" t="s">
        <v>32</v>
      </c>
      <c r="V242">
        <v>1944733</v>
      </c>
      <c r="W242" s="1" t="s">
        <v>33</v>
      </c>
      <c r="X242" s="1" t="s">
        <v>28</v>
      </c>
      <c r="Y242" s="1" t="s">
        <v>28</v>
      </c>
      <c r="Z242" s="1" t="s">
        <v>28</v>
      </c>
      <c r="AA242" s="1" t="s">
        <v>28</v>
      </c>
    </row>
    <row r="243" spans="1:27" x14ac:dyDescent="0.35">
      <c r="A243" t="s">
        <v>166</v>
      </c>
      <c r="B243">
        <v>439096</v>
      </c>
      <c r="C243" s="1" t="s">
        <v>28</v>
      </c>
      <c r="D243" s="11">
        <v>180921.75</v>
      </c>
      <c r="E243" s="1" t="s">
        <v>35</v>
      </c>
      <c r="F243">
        <v>40263</v>
      </c>
      <c r="G243" s="2">
        <v>45991</v>
      </c>
      <c r="H243" s="1" t="s">
        <v>28</v>
      </c>
      <c r="I243" s="1" t="s">
        <v>28</v>
      </c>
      <c r="J243">
        <v>13</v>
      </c>
      <c r="K243" s="1" t="s">
        <v>36</v>
      </c>
      <c r="L243" s="1" t="s">
        <v>28</v>
      </c>
      <c r="O243" s="1" t="s">
        <v>28</v>
      </c>
      <c r="P243" s="1" t="s">
        <v>47</v>
      </c>
      <c r="Q243" s="1" t="s">
        <v>31</v>
      </c>
      <c r="R243" s="1" t="s">
        <v>38</v>
      </c>
      <c r="S243" s="1" t="s">
        <v>48</v>
      </c>
      <c r="T243" s="1" t="s">
        <v>40</v>
      </c>
      <c r="U243" s="1" t="s">
        <v>32</v>
      </c>
      <c r="V243">
        <v>1944733</v>
      </c>
      <c r="W243" s="1" t="s">
        <v>33</v>
      </c>
      <c r="X243" s="1" t="s">
        <v>28</v>
      </c>
      <c r="Y243" s="1" t="s">
        <v>28</v>
      </c>
      <c r="Z243" s="1" t="s">
        <v>28</v>
      </c>
      <c r="AA243" s="1" t="s">
        <v>28</v>
      </c>
    </row>
    <row r="244" spans="1:27" x14ac:dyDescent="0.35">
      <c r="A244" t="s">
        <v>165</v>
      </c>
      <c r="B244">
        <v>457691</v>
      </c>
      <c r="C244" s="1" t="s">
        <v>28</v>
      </c>
      <c r="D244" s="11">
        <v>371491.6</v>
      </c>
      <c r="E244" s="1" t="s">
        <v>35</v>
      </c>
      <c r="F244">
        <v>40263</v>
      </c>
      <c r="G244" s="2">
        <v>45991</v>
      </c>
      <c r="H244" s="1" t="s">
        <v>28</v>
      </c>
      <c r="I244" s="1" t="s">
        <v>28</v>
      </c>
      <c r="J244">
        <v>14</v>
      </c>
      <c r="K244" s="1" t="s">
        <v>36</v>
      </c>
      <c r="L244" s="1" t="s">
        <v>28</v>
      </c>
      <c r="O244" s="1" t="s">
        <v>28</v>
      </c>
      <c r="P244" s="1" t="s">
        <v>51</v>
      </c>
      <c r="Q244" s="1" t="s">
        <v>31</v>
      </c>
      <c r="R244" s="1" t="s">
        <v>38</v>
      </c>
      <c r="S244" s="1" t="s">
        <v>48</v>
      </c>
      <c r="T244" s="1" t="s">
        <v>40</v>
      </c>
      <c r="U244" s="1" t="s">
        <v>32</v>
      </c>
      <c r="V244">
        <v>1944733</v>
      </c>
      <c r="W244" s="1" t="s">
        <v>33</v>
      </c>
      <c r="X244" s="1" t="s">
        <v>28</v>
      </c>
      <c r="Y244" s="1" t="s">
        <v>28</v>
      </c>
      <c r="Z244" s="1" t="s">
        <v>28</v>
      </c>
      <c r="AA244" s="1" t="s">
        <v>28</v>
      </c>
    </row>
    <row r="245" spans="1:27" x14ac:dyDescent="0.35">
      <c r="A245" t="s">
        <v>166</v>
      </c>
      <c r="B245">
        <v>439097</v>
      </c>
      <c r="C245" s="1" t="s">
        <v>28</v>
      </c>
      <c r="D245" s="11">
        <v>938081.95</v>
      </c>
      <c r="E245" s="1" t="s">
        <v>35</v>
      </c>
      <c r="F245">
        <v>40264</v>
      </c>
      <c r="G245" s="2">
        <v>45991</v>
      </c>
      <c r="H245" s="1" t="s">
        <v>28</v>
      </c>
      <c r="I245" s="1" t="s">
        <v>28</v>
      </c>
      <c r="J245">
        <v>8</v>
      </c>
      <c r="K245" s="1" t="s">
        <v>36</v>
      </c>
      <c r="L245" s="1" t="s">
        <v>28</v>
      </c>
      <c r="O245" s="1" t="s">
        <v>28</v>
      </c>
      <c r="P245" s="1" t="s">
        <v>44</v>
      </c>
      <c r="Q245" s="1" t="s">
        <v>31</v>
      </c>
      <c r="R245" s="1" t="s">
        <v>38</v>
      </c>
      <c r="S245" s="1" t="s">
        <v>45</v>
      </c>
      <c r="T245" s="1" t="s">
        <v>40</v>
      </c>
      <c r="U245" s="1" t="s">
        <v>32</v>
      </c>
      <c r="V245">
        <v>1944733</v>
      </c>
      <c r="W245" s="1" t="s">
        <v>33</v>
      </c>
      <c r="X245" s="1" t="s">
        <v>28</v>
      </c>
      <c r="Y245" s="1" t="s">
        <v>28</v>
      </c>
      <c r="Z245" s="1" t="s">
        <v>28</v>
      </c>
      <c r="AA245" s="1" t="s">
        <v>28</v>
      </c>
    </row>
    <row r="246" spans="1:27" x14ac:dyDescent="0.35">
      <c r="A246" t="s">
        <v>167</v>
      </c>
      <c r="B246">
        <v>459382</v>
      </c>
      <c r="C246" s="1" t="s">
        <v>28</v>
      </c>
      <c r="D246" s="11">
        <v>1776080.19</v>
      </c>
      <c r="E246" s="1" t="s">
        <v>35</v>
      </c>
      <c r="F246">
        <v>40264</v>
      </c>
      <c r="G246" s="2">
        <v>45991</v>
      </c>
      <c r="H246" s="1" t="s">
        <v>28</v>
      </c>
      <c r="I246" s="1" t="s">
        <v>28</v>
      </c>
      <c r="J246">
        <v>9</v>
      </c>
      <c r="K246" s="1" t="s">
        <v>36</v>
      </c>
      <c r="L246" s="1" t="s">
        <v>28</v>
      </c>
      <c r="O246" s="1" t="s">
        <v>28</v>
      </c>
      <c r="P246" s="1" t="s">
        <v>52</v>
      </c>
      <c r="Q246" s="1" t="s">
        <v>31</v>
      </c>
      <c r="R246" s="1" t="s">
        <v>38</v>
      </c>
      <c r="S246" s="1" t="s">
        <v>45</v>
      </c>
      <c r="T246" s="1" t="s">
        <v>40</v>
      </c>
      <c r="U246" s="1" t="s">
        <v>32</v>
      </c>
      <c r="V246">
        <v>1944733</v>
      </c>
      <c r="W246" s="1" t="s">
        <v>33</v>
      </c>
      <c r="X246" s="1" t="s">
        <v>28</v>
      </c>
      <c r="Y246" s="1" t="s">
        <v>28</v>
      </c>
      <c r="Z246" s="1" t="s">
        <v>28</v>
      </c>
      <c r="AA246" s="1" t="s">
        <v>28</v>
      </c>
    </row>
    <row r="247" spans="1:27" x14ac:dyDescent="0.35">
      <c r="A247" t="s">
        <v>165</v>
      </c>
      <c r="B247">
        <v>456149</v>
      </c>
      <c r="C247" s="1" t="s">
        <v>28</v>
      </c>
      <c r="D247" s="11">
        <v>2870940.44</v>
      </c>
      <c r="E247" s="1" t="s">
        <v>35</v>
      </c>
      <c r="F247">
        <v>40264</v>
      </c>
      <c r="G247" s="2">
        <v>45991</v>
      </c>
      <c r="H247" s="1" t="s">
        <v>28</v>
      </c>
      <c r="I247" s="1" t="s">
        <v>28</v>
      </c>
      <c r="J247">
        <v>10</v>
      </c>
      <c r="K247" s="1" t="s">
        <v>36</v>
      </c>
      <c r="L247" s="1" t="s">
        <v>28</v>
      </c>
      <c r="O247" s="1" t="s">
        <v>28</v>
      </c>
      <c r="P247" s="1" t="s">
        <v>50</v>
      </c>
      <c r="Q247" s="1" t="s">
        <v>31</v>
      </c>
      <c r="R247" s="1" t="s">
        <v>38</v>
      </c>
      <c r="S247" s="1" t="s">
        <v>45</v>
      </c>
      <c r="T247" s="1" t="s">
        <v>40</v>
      </c>
      <c r="U247" s="1" t="s">
        <v>32</v>
      </c>
      <c r="V247">
        <v>1944733</v>
      </c>
      <c r="W247" s="1" t="s">
        <v>33</v>
      </c>
      <c r="X247" s="1" t="s">
        <v>28</v>
      </c>
      <c r="Y247" s="1" t="s">
        <v>28</v>
      </c>
      <c r="Z247" s="1" t="s">
        <v>28</v>
      </c>
      <c r="AA247" s="1" t="s">
        <v>28</v>
      </c>
    </row>
    <row r="248" spans="1:27" x14ac:dyDescent="0.35">
      <c r="A248" t="s">
        <v>167</v>
      </c>
      <c r="B248">
        <v>438068</v>
      </c>
      <c r="C248" s="1" t="s">
        <v>28</v>
      </c>
      <c r="D248" s="11">
        <v>586553.97</v>
      </c>
      <c r="E248" s="1" t="s">
        <v>35</v>
      </c>
      <c r="F248">
        <v>40264</v>
      </c>
      <c r="G248" s="2">
        <v>45991</v>
      </c>
      <c r="H248" s="1" t="s">
        <v>28</v>
      </c>
      <c r="I248" s="1" t="s">
        <v>28</v>
      </c>
      <c r="J248">
        <v>11</v>
      </c>
      <c r="K248" s="1" t="s">
        <v>36</v>
      </c>
      <c r="L248" s="1" t="s">
        <v>28</v>
      </c>
      <c r="O248" s="1" t="s">
        <v>28</v>
      </c>
      <c r="P248" s="1" t="s">
        <v>46</v>
      </c>
      <c r="Q248" s="1" t="s">
        <v>31</v>
      </c>
      <c r="R248" s="1" t="s">
        <v>38</v>
      </c>
      <c r="S248" s="1" t="s">
        <v>45</v>
      </c>
      <c r="T248" s="1" t="s">
        <v>40</v>
      </c>
      <c r="U248" s="1" t="s">
        <v>32</v>
      </c>
      <c r="V248">
        <v>1944733</v>
      </c>
      <c r="W248" s="1" t="s">
        <v>33</v>
      </c>
      <c r="X248" s="1" t="s">
        <v>28</v>
      </c>
      <c r="Y248" s="1" t="s">
        <v>28</v>
      </c>
      <c r="Z248" s="1" t="s">
        <v>28</v>
      </c>
      <c r="AA248" s="1" t="s">
        <v>28</v>
      </c>
    </row>
    <row r="249" spans="1:27" x14ac:dyDescent="0.35">
      <c r="A249" t="s">
        <v>166</v>
      </c>
      <c r="B249">
        <v>327543</v>
      </c>
      <c r="C249" s="1" t="s">
        <v>28</v>
      </c>
      <c r="D249" s="11">
        <v>5588514.9299999997</v>
      </c>
      <c r="E249" s="1" t="s">
        <v>35</v>
      </c>
      <c r="F249">
        <v>40264</v>
      </c>
      <c r="G249" s="2">
        <v>45991</v>
      </c>
      <c r="H249" s="1" t="s">
        <v>28</v>
      </c>
      <c r="I249" s="1" t="s">
        <v>28</v>
      </c>
      <c r="J249">
        <v>12</v>
      </c>
      <c r="K249" s="1" t="s">
        <v>36</v>
      </c>
      <c r="L249" s="1" t="s">
        <v>28</v>
      </c>
      <c r="O249" s="1" t="s">
        <v>28</v>
      </c>
      <c r="P249" s="1" t="s">
        <v>37</v>
      </c>
      <c r="Q249" s="1" t="s">
        <v>31</v>
      </c>
      <c r="R249" s="1" t="s">
        <v>38</v>
      </c>
      <c r="S249" s="1" t="s">
        <v>45</v>
      </c>
      <c r="T249" s="1" t="s">
        <v>40</v>
      </c>
      <c r="U249" s="1" t="s">
        <v>32</v>
      </c>
      <c r="V249">
        <v>1944733</v>
      </c>
      <c r="W249" s="1" t="s">
        <v>33</v>
      </c>
      <c r="X249" s="1" t="s">
        <v>28</v>
      </c>
      <c r="Y249" s="1" t="s">
        <v>28</v>
      </c>
      <c r="Z249" s="1" t="s">
        <v>28</v>
      </c>
      <c r="AA249" s="1" t="s">
        <v>28</v>
      </c>
    </row>
    <row r="250" spans="1:27" x14ac:dyDescent="0.35">
      <c r="A250" t="s">
        <v>166</v>
      </c>
      <c r="B250">
        <v>439096</v>
      </c>
      <c r="C250" s="1" t="s">
        <v>28</v>
      </c>
      <c r="D250" s="11">
        <v>181065.32</v>
      </c>
      <c r="E250" s="1" t="s">
        <v>35</v>
      </c>
      <c r="F250">
        <v>40264</v>
      </c>
      <c r="G250" s="2">
        <v>45991</v>
      </c>
      <c r="H250" s="1" t="s">
        <v>28</v>
      </c>
      <c r="I250" s="1" t="s">
        <v>28</v>
      </c>
      <c r="J250">
        <v>13</v>
      </c>
      <c r="K250" s="1" t="s">
        <v>36</v>
      </c>
      <c r="L250" s="1" t="s">
        <v>28</v>
      </c>
      <c r="O250" s="1" t="s">
        <v>28</v>
      </c>
      <c r="P250" s="1" t="s">
        <v>47</v>
      </c>
      <c r="Q250" s="1" t="s">
        <v>31</v>
      </c>
      <c r="R250" s="1" t="s">
        <v>38</v>
      </c>
      <c r="S250" s="1" t="s">
        <v>45</v>
      </c>
      <c r="T250" s="1" t="s">
        <v>40</v>
      </c>
      <c r="U250" s="1" t="s">
        <v>32</v>
      </c>
      <c r="V250">
        <v>1944733</v>
      </c>
      <c r="W250" s="1" t="s">
        <v>33</v>
      </c>
      <c r="X250" s="1" t="s">
        <v>28</v>
      </c>
      <c r="Y250" s="1" t="s">
        <v>28</v>
      </c>
      <c r="Z250" s="1" t="s">
        <v>28</v>
      </c>
      <c r="AA250" s="1" t="s">
        <v>28</v>
      </c>
    </row>
    <row r="251" spans="1:27" x14ac:dyDescent="0.35">
      <c r="A251" t="s">
        <v>165</v>
      </c>
      <c r="B251">
        <v>457691</v>
      </c>
      <c r="C251" s="1" t="s">
        <v>28</v>
      </c>
      <c r="D251" s="11">
        <v>371786.39</v>
      </c>
      <c r="E251" s="1" t="s">
        <v>35</v>
      </c>
      <c r="F251">
        <v>40264</v>
      </c>
      <c r="G251" s="2">
        <v>45991</v>
      </c>
      <c r="H251" s="1" t="s">
        <v>28</v>
      </c>
      <c r="I251" s="1" t="s">
        <v>28</v>
      </c>
      <c r="J251">
        <v>14</v>
      </c>
      <c r="K251" s="1" t="s">
        <v>36</v>
      </c>
      <c r="L251" s="1" t="s">
        <v>28</v>
      </c>
      <c r="O251" s="1" t="s">
        <v>28</v>
      </c>
      <c r="P251" s="1" t="s">
        <v>51</v>
      </c>
      <c r="Q251" s="1" t="s">
        <v>31</v>
      </c>
      <c r="R251" s="1" t="s">
        <v>38</v>
      </c>
      <c r="S251" s="1" t="s">
        <v>45</v>
      </c>
      <c r="T251" s="1" t="s">
        <v>40</v>
      </c>
      <c r="U251" s="1" t="s">
        <v>32</v>
      </c>
      <c r="V251">
        <v>1944733</v>
      </c>
      <c r="W251" s="1" t="s">
        <v>33</v>
      </c>
      <c r="X251" s="1" t="s">
        <v>28</v>
      </c>
      <c r="Y251" s="1" t="s">
        <v>28</v>
      </c>
      <c r="Z251" s="1" t="s">
        <v>28</v>
      </c>
      <c r="AA251" s="1" t="s">
        <v>28</v>
      </c>
    </row>
    <row r="252" spans="1:27" x14ac:dyDescent="0.35">
      <c r="A252" t="s">
        <v>166</v>
      </c>
      <c r="B252">
        <v>439097</v>
      </c>
      <c r="C252" s="1" t="s">
        <v>28</v>
      </c>
      <c r="D252" s="11">
        <v>2843808.32</v>
      </c>
      <c r="E252" s="1" t="s">
        <v>35</v>
      </c>
      <c r="F252">
        <v>40265</v>
      </c>
      <c r="G252" s="2">
        <v>45991</v>
      </c>
      <c r="H252" s="1" t="s">
        <v>28</v>
      </c>
      <c r="I252" s="1" t="s">
        <v>28</v>
      </c>
      <c r="J252">
        <v>8</v>
      </c>
      <c r="K252" s="1" t="s">
        <v>36</v>
      </c>
      <c r="L252" s="1" t="s">
        <v>28</v>
      </c>
      <c r="O252" s="1" t="s">
        <v>28</v>
      </c>
      <c r="P252" s="1" t="s">
        <v>44</v>
      </c>
      <c r="Q252" s="1" t="s">
        <v>31</v>
      </c>
      <c r="R252" s="1" t="s">
        <v>38</v>
      </c>
      <c r="S252" s="1" t="s">
        <v>45</v>
      </c>
      <c r="T252" s="1" t="s">
        <v>40</v>
      </c>
      <c r="U252" s="1" t="s">
        <v>32</v>
      </c>
      <c r="V252">
        <v>1944733</v>
      </c>
      <c r="W252" s="1" t="s">
        <v>33</v>
      </c>
      <c r="X252" s="1" t="s">
        <v>28</v>
      </c>
      <c r="Y252" s="1" t="s">
        <v>28</v>
      </c>
      <c r="Z252" s="1" t="s">
        <v>28</v>
      </c>
      <c r="AA252" s="1" t="s">
        <v>28</v>
      </c>
    </row>
    <row r="253" spans="1:27" x14ac:dyDescent="0.35">
      <c r="A253" t="s">
        <v>167</v>
      </c>
      <c r="B253">
        <v>459382</v>
      </c>
      <c r="C253" s="1" t="s">
        <v>28</v>
      </c>
      <c r="D253" s="11">
        <v>5384211.5199999996</v>
      </c>
      <c r="E253" s="1" t="s">
        <v>35</v>
      </c>
      <c r="F253">
        <v>40265</v>
      </c>
      <c r="G253" s="2">
        <v>45991</v>
      </c>
      <c r="H253" s="1" t="s">
        <v>28</v>
      </c>
      <c r="I253" s="1" t="s">
        <v>28</v>
      </c>
      <c r="J253">
        <v>9</v>
      </c>
      <c r="K253" s="1" t="s">
        <v>36</v>
      </c>
      <c r="L253" s="1" t="s">
        <v>28</v>
      </c>
      <c r="O253" s="1" t="s">
        <v>28</v>
      </c>
      <c r="P253" s="1" t="s">
        <v>52</v>
      </c>
      <c r="Q253" s="1" t="s">
        <v>31</v>
      </c>
      <c r="R253" s="1" t="s">
        <v>38</v>
      </c>
      <c r="S253" s="1" t="s">
        <v>45</v>
      </c>
      <c r="T253" s="1" t="s">
        <v>40</v>
      </c>
      <c r="U253" s="1" t="s">
        <v>32</v>
      </c>
      <c r="V253">
        <v>1944733</v>
      </c>
      <c r="W253" s="1" t="s">
        <v>33</v>
      </c>
      <c r="X253" s="1" t="s">
        <v>28</v>
      </c>
      <c r="Y253" s="1" t="s">
        <v>28</v>
      </c>
      <c r="Z253" s="1" t="s">
        <v>28</v>
      </c>
      <c r="AA253" s="1" t="s">
        <v>28</v>
      </c>
    </row>
    <row r="254" spans="1:27" x14ac:dyDescent="0.35">
      <c r="A254" t="s">
        <v>165</v>
      </c>
      <c r="B254">
        <v>456149</v>
      </c>
      <c r="C254" s="1" t="s">
        <v>28</v>
      </c>
      <c r="D254" s="11">
        <v>8703295.4100000001</v>
      </c>
      <c r="E254" s="1" t="s">
        <v>35</v>
      </c>
      <c r="F254">
        <v>40265</v>
      </c>
      <c r="G254" s="2">
        <v>45991</v>
      </c>
      <c r="H254" s="1" t="s">
        <v>28</v>
      </c>
      <c r="I254" s="1" t="s">
        <v>28</v>
      </c>
      <c r="J254">
        <v>10</v>
      </c>
      <c r="K254" s="1" t="s">
        <v>36</v>
      </c>
      <c r="L254" s="1" t="s">
        <v>28</v>
      </c>
      <c r="O254" s="1" t="s">
        <v>28</v>
      </c>
      <c r="P254" s="1" t="s">
        <v>50</v>
      </c>
      <c r="Q254" s="1" t="s">
        <v>31</v>
      </c>
      <c r="R254" s="1" t="s">
        <v>38</v>
      </c>
      <c r="S254" s="1" t="s">
        <v>45</v>
      </c>
      <c r="T254" s="1" t="s">
        <v>40</v>
      </c>
      <c r="U254" s="1" t="s">
        <v>32</v>
      </c>
      <c r="V254">
        <v>1944733</v>
      </c>
      <c r="W254" s="1" t="s">
        <v>33</v>
      </c>
      <c r="X254" s="1" t="s">
        <v>28</v>
      </c>
      <c r="Y254" s="1" t="s">
        <v>28</v>
      </c>
      <c r="Z254" s="1" t="s">
        <v>28</v>
      </c>
      <c r="AA254" s="1" t="s">
        <v>28</v>
      </c>
    </row>
    <row r="255" spans="1:27" x14ac:dyDescent="0.35">
      <c r="A255" t="s">
        <v>167</v>
      </c>
      <c r="B255">
        <v>438068</v>
      </c>
      <c r="C255" s="1" t="s">
        <v>28</v>
      </c>
      <c r="D255" s="11">
        <v>1778146.44</v>
      </c>
      <c r="E255" s="1" t="s">
        <v>35</v>
      </c>
      <c r="F255">
        <v>40265</v>
      </c>
      <c r="G255" s="2">
        <v>45991</v>
      </c>
      <c r="H255" s="1" t="s">
        <v>28</v>
      </c>
      <c r="I255" s="1" t="s">
        <v>28</v>
      </c>
      <c r="J255">
        <v>11</v>
      </c>
      <c r="K255" s="1" t="s">
        <v>36</v>
      </c>
      <c r="L255" s="1" t="s">
        <v>28</v>
      </c>
      <c r="O255" s="1" t="s">
        <v>28</v>
      </c>
      <c r="P255" s="1" t="s">
        <v>46</v>
      </c>
      <c r="Q255" s="1" t="s">
        <v>31</v>
      </c>
      <c r="R255" s="1" t="s">
        <v>38</v>
      </c>
      <c r="S255" s="1" t="s">
        <v>45</v>
      </c>
      <c r="T255" s="1" t="s">
        <v>40</v>
      </c>
      <c r="U255" s="1" t="s">
        <v>32</v>
      </c>
      <c r="V255">
        <v>1944733</v>
      </c>
      <c r="W255" s="1" t="s">
        <v>33</v>
      </c>
      <c r="X255" s="1" t="s">
        <v>28</v>
      </c>
      <c r="Y255" s="1" t="s">
        <v>28</v>
      </c>
      <c r="Z255" s="1" t="s">
        <v>28</v>
      </c>
      <c r="AA255" s="1" t="s">
        <v>28</v>
      </c>
    </row>
    <row r="256" spans="1:27" x14ac:dyDescent="0.35">
      <c r="A256" t="s">
        <v>166</v>
      </c>
      <c r="B256">
        <v>327543</v>
      </c>
      <c r="C256" s="1" t="s">
        <v>28</v>
      </c>
      <c r="D256" s="11">
        <v>16946388.98</v>
      </c>
      <c r="E256" s="1" t="s">
        <v>35</v>
      </c>
      <c r="F256">
        <v>40265</v>
      </c>
      <c r="G256" s="2">
        <v>45991</v>
      </c>
      <c r="H256" s="1" t="s">
        <v>28</v>
      </c>
      <c r="I256" s="1" t="s">
        <v>28</v>
      </c>
      <c r="J256">
        <v>12</v>
      </c>
      <c r="K256" s="1" t="s">
        <v>36</v>
      </c>
      <c r="L256" s="1" t="s">
        <v>28</v>
      </c>
      <c r="O256" s="1" t="s">
        <v>28</v>
      </c>
      <c r="P256" s="1" t="s">
        <v>37</v>
      </c>
      <c r="Q256" s="1" t="s">
        <v>31</v>
      </c>
      <c r="R256" s="1" t="s">
        <v>38</v>
      </c>
      <c r="S256" s="1" t="s">
        <v>45</v>
      </c>
      <c r="T256" s="1" t="s">
        <v>40</v>
      </c>
      <c r="U256" s="1" t="s">
        <v>32</v>
      </c>
      <c r="V256">
        <v>1944733</v>
      </c>
      <c r="W256" s="1" t="s">
        <v>33</v>
      </c>
      <c r="X256" s="1" t="s">
        <v>28</v>
      </c>
      <c r="Y256" s="1" t="s">
        <v>28</v>
      </c>
      <c r="Z256" s="1" t="s">
        <v>28</v>
      </c>
      <c r="AA256" s="1" t="s">
        <v>28</v>
      </c>
    </row>
    <row r="257" spans="1:27" x14ac:dyDescent="0.35">
      <c r="A257" t="s">
        <v>166</v>
      </c>
      <c r="B257">
        <v>439096</v>
      </c>
      <c r="C257" s="1" t="s">
        <v>28</v>
      </c>
      <c r="D257" s="11">
        <v>548902</v>
      </c>
      <c r="E257" s="1" t="s">
        <v>35</v>
      </c>
      <c r="F257">
        <v>40265</v>
      </c>
      <c r="G257" s="2">
        <v>45991</v>
      </c>
      <c r="H257" s="1" t="s">
        <v>28</v>
      </c>
      <c r="I257" s="1" t="s">
        <v>28</v>
      </c>
      <c r="J257">
        <v>13</v>
      </c>
      <c r="K257" s="1" t="s">
        <v>36</v>
      </c>
      <c r="L257" s="1" t="s">
        <v>28</v>
      </c>
      <c r="O257" s="1" t="s">
        <v>28</v>
      </c>
      <c r="P257" s="1" t="s">
        <v>47</v>
      </c>
      <c r="Q257" s="1" t="s">
        <v>31</v>
      </c>
      <c r="R257" s="1" t="s">
        <v>38</v>
      </c>
      <c r="S257" s="1" t="s">
        <v>45</v>
      </c>
      <c r="T257" s="1" t="s">
        <v>40</v>
      </c>
      <c r="U257" s="1" t="s">
        <v>32</v>
      </c>
      <c r="V257">
        <v>1944733</v>
      </c>
      <c r="W257" s="1" t="s">
        <v>33</v>
      </c>
      <c r="X257" s="1" t="s">
        <v>28</v>
      </c>
      <c r="Y257" s="1" t="s">
        <v>28</v>
      </c>
      <c r="Z257" s="1" t="s">
        <v>28</v>
      </c>
      <c r="AA257" s="1" t="s">
        <v>28</v>
      </c>
    </row>
    <row r="258" spans="1:27" x14ac:dyDescent="0.35">
      <c r="A258" t="s">
        <v>165</v>
      </c>
      <c r="B258">
        <v>457691</v>
      </c>
      <c r="C258" s="1" t="s">
        <v>28</v>
      </c>
      <c r="D258" s="11">
        <v>1127075.56</v>
      </c>
      <c r="E258" s="1" t="s">
        <v>35</v>
      </c>
      <c r="F258">
        <v>40265</v>
      </c>
      <c r="G258" s="2">
        <v>45991</v>
      </c>
      <c r="H258" s="1" t="s">
        <v>28</v>
      </c>
      <c r="I258" s="1" t="s">
        <v>28</v>
      </c>
      <c r="J258">
        <v>14</v>
      </c>
      <c r="K258" s="1" t="s">
        <v>36</v>
      </c>
      <c r="L258" s="1" t="s">
        <v>28</v>
      </c>
      <c r="O258" s="1" t="s">
        <v>28</v>
      </c>
      <c r="P258" s="1" t="s">
        <v>51</v>
      </c>
      <c r="Q258" s="1" t="s">
        <v>31</v>
      </c>
      <c r="R258" s="1" t="s">
        <v>38</v>
      </c>
      <c r="S258" s="1" t="s">
        <v>45</v>
      </c>
      <c r="T258" s="1" t="s">
        <v>40</v>
      </c>
      <c r="U258" s="1" t="s">
        <v>32</v>
      </c>
      <c r="V258">
        <v>1944733</v>
      </c>
      <c r="W258" s="1" t="s">
        <v>33</v>
      </c>
      <c r="X258" s="1" t="s">
        <v>28</v>
      </c>
      <c r="Y258" s="1" t="s">
        <v>28</v>
      </c>
      <c r="Z258" s="1" t="s">
        <v>28</v>
      </c>
      <c r="AA258" s="1" t="s">
        <v>28</v>
      </c>
    </row>
    <row r="259" spans="1:27" x14ac:dyDescent="0.35">
      <c r="A259" t="s">
        <v>166</v>
      </c>
      <c r="B259">
        <v>439097</v>
      </c>
      <c r="C259" s="1" t="s">
        <v>28</v>
      </c>
      <c r="D259" s="11">
        <v>4929938.93</v>
      </c>
      <c r="E259" s="1" t="s">
        <v>35</v>
      </c>
      <c r="F259">
        <v>40266</v>
      </c>
      <c r="G259" s="2">
        <v>45991</v>
      </c>
      <c r="H259" s="1" t="s">
        <v>28</v>
      </c>
      <c r="I259" s="1" t="s">
        <v>28</v>
      </c>
      <c r="J259">
        <v>8</v>
      </c>
      <c r="K259" s="1" t="s">
        <v>36</v>
      </c>
      <c r="L259" s="1" t="s">
        <v>28</v>
      </c>
      <c r="O259" s="1" t="s">
        <v>28</v>
      </c>
      <c r="P259" s="1" t="s">
        <v>44</v>
      </c>
      <c r="Q259" s="1" t="s">
        <v>31</v>
      </c>
      <c r="R259" s="1" t="s">
        <v>38</v>
      </c>
      <c r="S259" s="1" t="s">
        <v>45</v>
      </c>
      <c r="T259" s="1" t="s">
        <v>40</v>
      </c>
      <c r="U259" s="1" t="s">
        <v>32</v>
      </c>
      <c r="V259">
        <v>1944733</v>
      </c>
      <c r="W259" s="1" t="s">
        <v>33</v>
      </c>
      <c r="X259" s="1" t="s">
        <v>28</v>
      </c>
      <c r="Y259" s="1" t="s">
        <v>28</v>
      </c>
      <c r="Z259" s="1" t="s">
        <v>28</v>
      </c>
      <c r="AA259" s="1" t="s">
        <v>28</v>
      </c>
    </row>
    <row r="260" spans="1:27" x14ac:dyDescent="0.35">
      <c r="A260" t="s">
        <v>167</v>
      </c>
      <c r="B260">
        <v>459382</v>
      </c>
      <c r="C260" s="1" t="s">
        <v>28</v>
      </c>
      <c r="D260" s="11">
        <v>9333904.0500000007</v>
      </c>
      <c r="E260" s="1" t="s">
        <v>35</v>
      </c>
      <c r="F260">
        <v>40266</v>
      </c>
      <c r="G260" s="2">
        <v>45991</v>
      </c>
      <c r="H260" s="1" t="s">
        <v>28</v>
      </c>
      <c r="I260" s="1" t="s">
        <v>28</v>
      </c>
      <c r="J260">
        <v>9</v>
      </c>
      <c r="K260" s="1" t="s">
        <v>36</v>
      </c>
      <c r="L260" s="1" t="s">
        <v>28</v>
      </c>
      <c r="O260" s="1" t="s">
        <v>28</v>
      </c>
      <c r="P260" s="1" t="s">
        <v>52</v>
      </c>
      <c r="Q260" s="1" t="s">
        <v>31</v>
      </c>
      <c r="R260" s="1" t="s">
        <v>38</v>
      </c>
      <c r="S260" s="1" t="s">
        <v>45</v>
      </c>
      <c r="T260" s="1" t="s">
        <v>40</v>
      </c>
      <c r="U260" s="1" t="s">
        <v>32</v>
      </c>
      <c r="V260">
        <v>1944733</v>
      </c>
      <c r="W260" s="1" t="s">
        <v>33</v>
      </c>
      <c r="X260" s="1" t="s">
        <v>28</v>
      </c>
      <c r="Y260" s="1" t="s">
        <v>28</v>
      </c>
      <c r="Z260" s="1" t="s">
        <v>28</v>
      </c>
      <c r="AA260" s="1" t="s">
        <v>28</v>
      </c>
    </row>
    <row r="261" spans="1:27" x14ac:dyDescent="0.35">
      <c r="A261" t="s">
        <v>165</v>
      </c>
      <c r="B261">
        <v>456149</v>
      </c>
      <c r="C261" s="1" t="s">
        <v>28</v>
      </c>
      <c r="D261" s="11">
        <v>15087766.16</v>
      </c>
      <c r="E261" s="1" t="s">
        <v>35</v>
      </c>
      <c r="F261">
        <v>40266</v>
      </c>
      <c r="G261" s="2">
        <v>45991</v>
      </c>
      <c r="H261" s="1" t="s">
        <v>28</v>
      </c>
      <c r="I261" s="1" t="s">
        <v>28</v>
      </c>
      <c r="J261">
        <v>10</v>
      </c>
      <c r="K261" s="1" t="s">
        <v>36</v>
      </c>
      <c r="L261" s="1" t="s">
        <v>28</v>
      </c>
      <c r="O261" s="1" t="s">
        <v>28</v>
      </c>
      <c r="P261" s="1" t="s">
        <v>50</v>
      </c>
      <c r="Q261" s="1" t="s">
        <v>31</v>
      </c>
      <c r="R261" s="1" t="s">
        <v>38</v>
      </c>
      <c r="S261" s="1" t="s">
        <v>45</v>
      </c>
      <c r="T261" s="1" t="s">
        <v>40</v>
      </c>
      <c r="U261" s="1" t="s">
        <v>32</v>
      </c>
      <c r="V261">
        <v>1944733</v>
      </c>
      <c r="W261" s="1" t="s">
        <v>33</v>
      </c>
      <c r="X261" s="1" t="s">
        <v>28</v>
      </c>
      <c r="Y261" s="1" t="s">
        <v>28</v>
      </c>
      <c r="Z261" s="1" t="s">
        <v>28</v>
      </c>
      <c r="AA261" s="1" t="s">
        <v>28</v>
      </c>
    </row>
    <row r="262" spans="1:27" x14ac:dyDescent="0.35">
      <c r="A262" t="s">
        <v>167</v>
      </c>
      <c r="B262">
        <v>438068</v>
      </c>
      <c r="C262" s="1" t="s">
        <v>28</v>
      </c>
      <c r="D262" s="11">
        <v>3082540.16</v>
      </c>
      <c r="E262" s="1" t="s">
        <v>35</v>
      </c>
      <c r="F262">
        <v>40266</v>
      </c>
      <c r="G262" s="2">
        <v>45991</v>
      </c>
      <c r="H262" s="1" t="s">
        <v>28</v>
      </c>
      <c r="I262" s="1" t="s">
        <v>28</v>
      </c>
      <c r="J262">
        <v>11</v>
      </c>
      <c r="K262" s="1" t="s">
        <v>36</v>
      </c>
      <c r="L262" s="1" t="s">
        <v>28</v>
      </c>
      <c r="O262" s="1" t="s">
        <v>28</v>
      </c>
      <c r="P262" s="1" t="s">
        <v>46</v>
      </c>
      <c r="Q262" s="1" t="s">
        <v>31</v>
      </c>
      <c r="R262" s="1" t="s">
        <v>38</v>
      </c>
      <c r="S262" s="1" t="s">
        <v>45</v>
      </c>
      <c r="T262" s="1" t="s">
        <v>40</v>
      </c>
      <c r="U262" s="1" t="s">
        <v>32</v>
      </c>
      <c r="V262">
        <v>1944733</v>
      </c>
      <c r="W262" s="1" t="s">
        <v>33</v>
      </c>
      <c r="X262" s="1" t="s">
        <v>28</v>
      </c>
      <c r="Y262" s="1" t="s">
        <v>28</v>
      </c>
      <c r="Z262" s="1" t="s">
        <v>28</v>
      </c>
      <c r="AA262" s="1" t="s">
        <v>28</v>
      </c>
    </row>
    <row r="263" spans="1:27" x14ac:dyDescent="0.35">
      <c r="A263" t="s">
        <v>166</v>
      </c>
      <c r="B263">
        <v>327543</v>
      </c>
      <c r="C263" s="1" t="s">
        <v>28</v>
      </c>
      <c r="D263" s="11">
        <v>3951734.75</v>
      </c>
      <c r="E263" s="1" t="s">
        <v>35</v>
      </c>
      <c r="F263">
        <v>40266</v>
      </c>
      <c r="G263" s="2">
        <v>45991</v>
      </c>
      <c r="H263" s="1" t="s">
        <v>28</v>
      </c>
      <c r="I263" s="1" t="s">
        <v>28</v>
      </c>
      <c r="J263">
        <v>12</v>
      </c>
      <c r="K263" s="1" t="s">
        <v>36</v>
      </c>
      <c r="L263" s="1" t="s">
        <v>28</v>
      </c>
      <c r="O263" s="1" t="s">
        <v>28</v>
      </c>
      <c r="P263" s="1" t="s">
        <v>37</v>
      </c>
      <c r="Q263" s="1" t="s">
        <v>31</v>
      </c>
      <c r="R263" s="1" t="s">
        <v>38</v>
      </c>
      <c r="S263" s="1" t="s">
        <v>45</v>
      </c>
      <c r="T263" s="1" t="s">
        <v>40</v>
      </c>
      <c r="U263" s="1" t="s">
        <v>32</v>
      </c>
      <c r="V263">
        <v>1944733</v>
      </c>
      <c r="W263" s="1" t="s">
        <v>33</v>
      </c>
      <c r="X263" s="1" t="s">
        <v>28</v>
      </c>
      <c r="Y263" s="1" t="s">
        <v>28</v>
      </c>
      <c r="Z263" s="1" t="s">
        <v>28</v>
      </c>
      <c r="AA263" s="1" t="s">
        <v>28</v>
      </c>
    </row>
    <row r="264" spans="1:27" x14ac:dyDescent="0.35">
      <c r="A264" t="s">
        <v>166</v>
      </c>
      <c r="B264">
        <v>439096</v>
      </c>
      <c r="C264" s="1" t="s">
        <v>28</v>
      </c>
      <c r="D264" s="11">
        <v>951559.68000000005</v>
      </c>
      <c r="E264" s="1" t="s">
        <v>35</v>
      </c>
      <c r="F264">
        <v>40266</v>
      </c>
      <c r="G264" s="2">
        <v>45991</v>
      </c>
      <c r="H264" s="1" t="s">
        <v>28</v>
      </c>
      <c r="I264" s="1" t="s">
        <v>28</v>
      </c>
      <c r="J264">
        <v>13</v>
      </c>
      <c r="K264" s="1" t="s">
        <v>36</v>
      </c>
      <c r="L264" s="1" t="s">
        <v>28</v>
      </c>
      <c r="O264" s="1" t="s">
        <v>28</v>
      </c>
      <c r="P264" s="1" t="s">
        <v>47</v>
      </c>
      <c r="Q264" s="1" t="s">
        <v>31</v>
      </c>
      <c r="R264" s="1" t="s">
        <v>38</v>
      </c>
      <c r="S264" s="1" t="s">
        <v>45</v>
      </c>
      <c r="T264" s="1" t="s">
        <v>40</v>
      </c>
      <c r="U264" s="1" t="s">
        <v>32</v>
      </c>
      <c r="V264">
        <v>1944733</v>
      </c>
      <c r="W264" s="1" t="s">
        <v>33</v>
      </c>
      <c r="X264" s="1" t="s">
        <v>28</v>
      </c>
      <c r="Y264" s="1" t="s">
        <v>28</v>
      </c>
      <c r="Z264" s="1" t="s">
        <v>28</v>
      </c>
      <c r="AA264" s="1" t="s">
        <v>28</v>
      </c>
    </row>
    <row r="265" spans="1:27" x14ac:dyDescent="0.35">
      <c r="A265" t="s">
        <v>165</v>
      </c>
      <c r="B265">
        <v>457691</v>
      </c>
      <c r="C265" s="1" t="s">
        <v>28</v>
      </c>
      <c r="D265" s="11">
        <v>1953863.65</v>
      </c>
      <c r="E265" s="1" t="s">
        <v>35</v>
      </c>
      <c r="F265">
        <v>40266</v>
      </c>
      <c r="G265" s="2">
        <v>45991</v>
      </c>
      <c r="H265" s="1" t="s">
        <v>28</v>
      </c>
      <c r="I265" s="1" t="s">
        <v>28</v>
      </c>
      <c r="J265">
        <v>14</v>
      </c>
      <c r="K265" s="1" t="s">
        <v>36</v>
      </c>
      <c r="L265" s="1" t="s">
        <v>28</v>
      </c>
      <c r="O265" s="1" t="s">
        <v>28</v>
      </c>
      <c r="P265" s="1" t="s">
        <v>51</v>
      </c>
      <c r="Q265" s="1" t="s">
        <v>31</v>
      </c>
      <c r="R265" s="1" t="s">
        <v>38</v>
      </c>
      <c r="S265" s="1" t="s">
        <v>45</v>
      </c>
      <c r="T265" s="1" t="s">
        <v>40</v>
      </c>
      <c r="U265" s="1" t="s">
        <v>32</v>
      </c>
      <c r="V265">
        <v>1944733</v>
      </c>
      <c r="W265" s="1" t="s">
        <v>33</v>
      </c>
      <c r="X265" s="1" t="s">
        <v>28</v>
      </c>
      <c r="Y265" s="1" t="s">
        <v>28</v>
      </c>
      <c r="Z265" s="1" t="s">
        <v>28</v>
      </c>
      <c r="AA265" s="1" t="s">
        <v>28</v>
      </c>
    </row>
    <row r="266" spans="1:27" x14ac:dyDescent="0.35">
      <c r="A266" t="str">
        <f>VLOOKUP(F266,'[1]Trans Pte X Contabilizar'!$A:$B,2,FALSE)</f>
        <v>USSA - GEOVANNY PALACIOS</v>
      </c>
      <c r="C266" s="1" t="s">
        <v>53</v>
      </c>
      <c r="D266" s="11">
        <v>-91996.03</v>
      </c>
      <c r="E266" s="1" t="s">
        <v>54</v>
      </c>
      <c r="F266">
        <v>9292</v>
      </c>
      <c r="G266" s="2">
        <v>45974</v>
      </c>
      <c r="H266" s="1" t="s">
        <v>28</v>
      </c>
      <c r="I266" s="1" t="s">
        <v>28</v>
      </c>
      <c r="J266">
        <v>2</v>
      </c>
      <c r="K266" s="1" t="s">
        <v>53</v>
      </c>
      <c r="L266" s="1" t="s">
        <v>28</v>
      </c>
      <c r="O266" s="1" t="s">
        <v>28</v>
      </c>
      <c r="P266" s="1" t="s">
        <v>55</v>
      </c>
      <c r="Q266" s="1" t="s">
        <v>31</v>
      </c>
      <c r="R266" s="1" t="s">
        <v>28</v>
      </c>
      <c r="S266" s="1" t="s">
        <v>28</v>
      </c>
      <c r="T266" s="1" t="s">
        <v>32</v>
      </c>
      <c r="U266" s="1" t="s">
        <v>32</v>
      </c>
      <c r="V266">
        <v>1939134</v>
      </c>
      <c r="W266" s="1" t="s">
        <v>33</v>
      </c>
      <c r="X266" s="1" t="s">
        <v>28</v>
      </c>
      <c r="AA266" s="1" t="s">
        <v>28</v>
      </c>
    </row>
    <row r="267" spans="1:27" x14ac:dyDescent="0.35">
      <c r="A267" t="str">
        <f>VLOOKUP(F267,'[1]Trans Pte X Contabilizar'!$A:$B,2,FALSE)</f>
        <v>USSA - GEOVANNY PALACIOS</v>
      </c>
      <c r="C267" s="1" t="s">
        <v>56</v>
      </c>
      <c r="D267" s="11">
        <v>100521822.89</v>
      </c>
      <c r="E267" s="1" t="s">
        <v>57</v>
      </c>
      <c r="F267">
        <v>1551</v>
      </c>
      <c r="G267" s="2">
        <v>45986</v>
      </c>
      <c r="H267" s="1" t="s">
        <v>28</v>
      </c>
      <c r="I267" s="1" t="s">
        <v>28</v>
      </c>
      <c r="J267">
        <v>1</v>
      </c>
      <c r="K267" s="1" t="s">
        <v>56</v>
      </c>
      <c r="L267" s="1" t="s">
        <v>28</v>
      </c>
      <c r="O267" s="1" t="s">
        <v>28</v>
      </c>
      <c r="P267" s="1" t="s">
        <v>58</v>
      </c>
      <c r="Q267" s="1" t="s">
        <v>31</v>
      </c>
      <c r="R267" s="1" t="s">
        <v>28</v>
      </c>
      <c r="S267" s="1" t="s">
        <v>28</v>
      </c>
      <c r="T267" s="1" t="s">
        <v>32</v>
      </c>
      <c r="U267" s="1" t="s">
        <v>32</v>
      </c>
      <c r="V267">
        <v>1942540</v>
      </c>
      <c r="W267" s="1" t="s">
        <v>33</v>
      </c>
      <c r="X267" s="1" t="s">
        <v>28</v>
      </c>
      <c r="AA267" s="1" t="s">
        <v>28</v>
      </c>
    </row>
    <row r="268" spans="1:27" x14ac:dyDescent="0.35">
      <c r="A268" t="str">
        <f>VLOOKUP(F268,'[1]Trans Pte X Contabilizar'!$A:$B,2,FALSE)</f>
        <v>USSA - GEOVANNY PALACIOS</v>
      </c>
      <c r="C268" s="1" t="s">
        <v>56</v>
      </c>
      <c r="D268" s="11">
        <v>-100521822.89</v>
      </c>
      <c r="E268" s="1" t="s">
        <v>57</v>
      </c>
      <c r="F268">
        <v>1551</v>
      </c>
      <c r="G268" s="2">
        <v>45986</v>
      </c>
      <c r="H268" s="1" t="s">
        <v>28</v>
      </c>
      <c r="I268" s="1" t="s">
        <v>28</v>
      </c>
      <c r="J268">
        <v>2</v>
      </c>
      <c r="K268" s="1" t="s">
        <v>56</v>
      </c>
      <c r="L268" s="1" t="s">
        <v>28</v>
      </c>
      <c r="O268" s="1" t="s">
        <v>28</v>
      </c>
      <c r="P268" s="1" t="s">
        <v>59</v>
      </c>
      <c r="Q268" s="1" t="s">
        <v>31</v>
      </c>
      <c r="R268" s="1" t="s">
        <v>28</v>
      </c>
      <c r="S268" s="1" t="s">
        <v>28</v>
      </c>
      <c r="T268" s="1" t="s">
        <v>32</v>
      </c>
      <c r="U268" s="1" t="s">
        <v>32</v>
      </c>
      <c r="V268">
        <v>1942540</v>
      </c>
      <c r="W268" s="1" t="s">
        <v>33</v>
      </c>
      <c r="X268" s="1" t="s">
        <v>28</v>
      </c>
      <c r="AA268" s="1" t="s">
        <v>28</v>
      </c>
    </row>
    <row r="269" spans="1:27" x14ac:dyDescent="0.35">
      <c r="A269" t="str">
        <f>VLOOKUP(F269,'[1]Trans Pte X Contabilizar'!$A:$B,2,FALSE)</f>
        <v>ALMACENES</v>
      </c>
      <c r="C269" s="1" t="s">
        <v>60</v>
      </c>
      <c r="D269" s="11">
        <v>-542334.54</v>
      </c>
      <c r="E269" s="1" t="s">
        <v>61</v>
      </c>
      <c r="F269">
        <v>1275</v>
      </c>
      <c r="G269" s="2">
        <v>45967</v>
      </c>
      <c r="H269" s="1" t="s">
        <v>28</v>
      </c>
      <c r="I269" s="1" t="s">
        <v>28</v>
      </c>
      <c r="J269">
        <v>1</v>
      </c>
      <c r="K269" s="1" t="s">
        <v>62</v>
      </c>
      <c r="L269" s="1" t="s">
        <v>28</v>
      </c>
      <c r="N269">
        <v>-3</v>
      </c>
      <c r="O269" s="1" t="s">
        <v>28</v>
      </c>
      <c r="P269" s="1" t="s">
        <v>63</v>
      </c>
      <c r="Q269" s="1" t="s">
        <v>31</v>
      </c>
      <c r="R269" s="1" t="s">
        <v>28</v>
      </c>
      <c r="S269" s="1" t="s">
        <v>28</v>
      </c>
      <c r="T269" s="1" t="s">
        <v>32</v>
      </c>
      <c r="U269" s="1" t="s">
        <v>32</v>
      </c>
      <c r="V269">
        <v>1936104</v>
      </c>
      <c r="W269" s="1" t="s">
        <v>64</v>
      </c>
      <c r="X269" s="1" t="s">
        <v>28</v>
      </c>
      <c r="AA269" s="1" t="s">
        <v>28</v>
      </c>
    </row>
    <row r="270" spans="1:27" x14ac:dyDescent="0.35">
      <c r="A270" t="str">
        <f>VLOOKUP(F270,'[1]Trans Pte X Contabilizar'!$A:$B,2,FALSE)</f>
        <v>ALMACENES</v>
      </c>
      <c r="C270" s="1" t="s">
        <v>60</v>
      </c>
      <c r="D270" s="11">
        <v>542334.54</v>
      </c>
      <c r="E270" s="1" t="s">
        <v>61</v>
      </c>
      <c r="F270">
        <v>1275</v>
      </c>
      <c r="G270" s="2">
        <v>45967</v>
      </c>
      <c r="H270" s="1" t="s">
        <v>28</v>
      </c>
      <c r="I270" s="1" t="s">
        <v>28</v>
      </c>
      <c r="J270">
        <v>2</v>
      </c>
      <c r="K270" s="1" t="s">
        <v>62</v>
      </c>
      <c r="L270" s="1" t="s">
        <v>28</v>
      </c>
      <c r="N270">
        <v>3</v>
      </c>
      <c r="O270" s="1" t="s">
        <v>28</v>
      </c>
      <c r="P270" s="1" t="s">
        <v>63</v>
      </c>
      <c r="Q270" s="1" t="s">
        <v>31</v>
      </c>
      <c r="R270" s="1" t="s">
        <v>28</v>
      </c>
      <c r="S270" s="1" t="s">
        <v>28</v>
      </c>
      <c r="T270" s="1" t="s">
        <v>32</v>
      </c>
      <c r="U270" s="1" t="s">
        <v>32</v>
      </c>
      <c r="V270">
        <v>1936104</v>
      </c>
      <c r="W270" s="1" t="s">
        <v>64</v>
      </c>
      <c r="X270" s="1" t="s">
        <v>28</v>
      </c>
      <c r="AA270" s="1" t="s">
        <v>28</v>
      </c>
    </row>
    <row r="271" spans="1:27" x14ac:dyDescent="0.35">
      <c r="A271" t="str">
        <f>VLOOKUP(F271,'[1]Trans Pte X Contabilizar'!$A:$B,2,FALSE)</f>
        <v>ALMACENES</v>
      </c>
      <c r="C271" s="1" t="s">
        <v>65</v>
      </c>
      <c r="D271" s="11">
        <v>-165569.9</v>
      </c>
      <c r="E271" s="1" t="s">
        <v>61</v>
      </c>
      <c r="F271">
        <v>1275</v>
      </c>
      <c r="G271" s="2">
        <v>45967</v>
      </c>
      <c r="H271" s="1" t="s">
        <v>28</v>
      </c>
      <c r="I271" s="1" t="s">
        <v>28</v>
      </c>
      <c r="J271">
        <v>3</v>
      </c>
      <c r="K271" s="1" t="s">
        <v>62</v>
      </c>
      <c r="L271" s="1" t="s">
        <v>28</v>
      </c>
      <c r="N271">
        <v>-1</v>
      </c>
      <c r="O271" s="1" t="s">
        <v>28</v>
      </c>
      <c r="P271" s="1" t="s">
        <v>63</v>
      </c>
      <c r="Q271" s="1" t="s">
        <v>31</v>
      </c>
      <c r="R271" s="1" t="s">
        <v>28</v>
      </c>
      <c r="S271" s="1" t="s">
        <v>28</v>
      </c>
      <c r="T271" s="1" t="s">
        <v>32</v>
      </c>
      <c r="U271" s="1" t="s">
        <v>32</v>
      </c>
      <c r="V271">
        <v>1936104</v>
      </c>
      <c r="W271" s="1" t="s">
        <v>64</v>
      </c>
      <c r="X271" s="1" t="s">
        <v>28</v>
      </c>
      <c r="AA271" s="1" t="s">
        <v>28</v>
      </c>
    </row>
    <row r="272" spans="1:27" x14ac:dyDescent="0.35">
      <c r="A272" t="str">
        <f>VLOOKUP(F272,'[1]Trans Pte X Contabilizar'!$A:$B,2,FALSE)</f>
        <v>ALMACENES</v>
      </c>
      <c r="C272" s="1" t="s">
        <v>65</v>
      </c>
      <c r="D272" s="11">
        <v>165569.9</v>
      </c>
      <c r="E272" s="1" t="s">
        <v>61</v>
      </c>
      <c r="F272">
        <v>1275</v>
      </c>
      <c r="G272" s="2">
        <v>45967</v>
      </c>
      <c r="H272" s="1" t="s">
        <v>28</v>
      </c>
      <c r="I272" s="1" t="s">
        <v>28</v>
      </c>
      <c r="J272">
        <v>4</v>
      </c>
      <c r="K272" s="1" t="s">
        <v>62</v>
      </c>
      <c r="L272" s="1" t="s">
        <v>28</v>
      </c>
      <c r="N272">
        <v>1</v>
      </c>
      <c r="O272" s="1" t="s">
        <v>28</v>
      </c>
      <c r="P272" s="1" t="s">
        <v>63</v>
      </c>
      <c r="Q272" s="1" t="s">
        <v>31</v>
      </c>
      <c r="R272" s="1" t="s">
        <v>28</v>
      </c>
      <c r="S272" s="1" t="s">
        <v>28</v>
      </c>
      <c r="T272" s="1" t="s">
        <v>32</v>
      </c>
      <c r="U272" s="1" t="s">
        <v>32</v>
      </c>
      <c r="V272">
        <v>1936104</v>
      </c>
      <c r="W272" s="1" t="s">
        <v>64</v>
      </c>
      <c r="X272" s="1" t="s">
        <v>28</v>
      </c>
      <c r="AA272" s="1" t="s">
        <v>28</v>
      </c>
    </row>
    <row r="273" spans="1:27" x14ac:dyDescent="0.35">
      <c r="A273" t="str">
        <f>VLOOKUP(F273,'[1]Trans Pte X Contabilizar'!$A:$B,2,FALSE)</f>
        <v>ALMACENES</v>
      </c>
      <c r="C273" s="1" t="s">
        <v>66</v>
      </c>
      <c r="D273" s="11">
        <v>542334.54</v>
      </c>
      <c r="E273" s="1" t="s">
        <v>61</v>
      </c>
      <c r="F273">
        <v>1275</v>
      </c>
      <c r="G273" s="2">
        <v>45967</v>
      </c>
      <c r="H273" s="1" t="s">
        <v>28</v>
      </c>
      <c r="I273" s="1" t="s">
        <v>28</v>
      </c>
      <c r="J273">
        <v>5</v>
      </c>
      <c r="K273" s="1" t="s">
        <v>62</v>
      </c>
      <c r="L273" s="1" t="s">
        <v>28</v>
      </c>
      <c r="N273">
        <v>3</v>
      </c>
      <c r="O273" s="1" t="s">
        <v>28</v>
      </c>
      <c r="P273" s="1" t="s">
        <v>63</v>
      </c>
      <c r="Q273" s="1" t="s">
        <v>31</v>
      </c>
      <c r="R273" s="1" t="s">
        <v>28</v>
      </c>
      <c r="S273" s="1" t="s">
        <v>28</v>
      </c>
      <c r="T273" s="1" t="s">
        <v>32</v>
      </c>
      <c r="U273" s="1" t="s">
        <v>32</v>
      </c>
      <c r="V273">
        <v>1936104</v>
      </c>
      <c r="W273" s="1" t="s">
        <v>64</v>
      </c>
      <c r="X273" s="1" t="s">
        <v>28</v>
      </c>
      <c r="AA273" s="1" t="s">
        <v>28</v>
      </c>
    </row>
    <row r="274" spans="1:27" x14ac:dyDescent="0.35">
      <c r="A274" t="str">
        <f>VLOOKUP(F274,'[1]Trans Pte X Contabilizar'!$A:$B,2,FALSE)</f>
        <v>ALMACENES</v>
      </c>
      <c r="C274" s="1" t="s">
        <v>66</v>
      </c>
      <c r="D274" s="11">
        <v>-542334.54</v>
      </c>
      <c r="E274" s="1" t="s">
        <v>61</v>
      </c>
      <c r="F274">
        <v>1275</v>
      </c>
      <c r="G274" s="2">
        <v>45967</v>
      </c>
      <c r="H274" s="1" t="s">
        <v>28</v>
      </c>
      <c r="I274" s="1" t="s">
        <v>28</v>
      </c>
      <c r="J274">
        <v>6</v>
      </c>
      <c r="K274" s="1" t="s">
        <v>62</v>
      </c>
      <c r="L274" s="1" t="s">
        <v>28</v>
      </c>
      <c r="N274">
        <v>-3</v>
      </c>
      <c r="O274" s="1" t="s">
        <v>28</v>
      </c>
      <c r="P274" s="1" t="s">
        <v>63</v>
      </c>
      <c r="Q274" s="1" t="s">
        <v>31</v>
      </c>
      <c r="R274" s="1" t="s">
        <v>28</v>
      </c>
      <c r="S274" s="1" t="s">
        <v>28</v>
      </c>
      <c r="T274" s="1" t="s">
        <v>32</v>
      </c>
      <c r="U274" s="1" t="s">
        <v>32</v>
      </c>
      <c r="V274">
        <v>1936104</v>
      </c>
      <c r="W274" s="1" t="s">
        <v>64</v>
      </c>
      <c r="X274" s="1" t="s">
        <v>28</v>
      </c>
      <c r="AA274" s="1" t="s">
        <v>28</v>
      </c>
    </row>
    <row r="275" spans="1:27" x14ac:dyDescent="0.35">
      <c r="A275" t="str">
        <f>VLOOKUP(F275,'[1]Trans Pte X Contabilizar'!$A:$B,2,FALSE)</f>
        <v>ALMACENES</v>
      </c>
      <c r="C275" s="1" t="s">
        <v>67</v>
      </c>
      <c r="D275" s="11">
        <v>165569.9</v>
      </c>
      <c r="E275" s="1" t="s">
        <v>61</v>
      </c>
      <c r="F275">
        <v>1275</v>
      </c>
      <c r="G275" s="2">
        <v>45967</v>
      </c>
      <c r="H275" s="1" t="s">
        <v>28</v>
      </c>
      <c r="I275" s="1" t="s">
        <v>28</v>
      </c>
      <c r="J275">
        <v>7</v>
      </c>
      <c r="K275" s="1" t="s">
        <v>62</v>
      </c>
      <c r="L275" s="1" t="s">
        <v>28</v>
      </c>
      <c r="N275">
        <v>1</v>
      </c>
      <c r="O275" s="1" t="s">
        <v>28</v>
      </c>
      <c r="P275" s="1" t="s">
        <v>63</v>
      </c>
      <c r="Q275" s="1" t="s">
        <v>31</v>
      </c>
      <c r="R275" s="1" t="s">
        <v>28</v>
      </c>
      <c r="S275" s="1" t="s">
        <v>28</v>
      </c>
      <c r="T275" s="1" t="s">
        <v>32</v>
      </c>
      <c r="U275" s="1" t="s">
        <v>32</v>
      </c>
      <c r="V275">
        <v>1936104</v>
      </c>
      <c r="W275" s="1" t="s">
        <v>64</v>
      </c>
      <c r="X275" s="1" t="s">
        <v>28</v>
      </c>
      <c r="AA275" s="1" t="s">
        <v>28</v>
      </c>
    </row>
    <row r="276" spans="1:27" x14ac:dyDescent="0.35">
      <c r="A276" t="str">
        <f>VLOOKUP(F276,'[1]Trans Pte X Contabilizar'!$A:$B,2,FALSE)</f>
        <v>ALMACENES</v>
      </c>
      <c r="C276" s="1" t="s">
        <v>67</v>
      </c>
      <c r="D276" s="11">
        <v>-165569.9</v>
      </c>
      <c r="E276" s="1" t="s">
        <v>61</v>
      </c>
      <c r="F276">
        <v>1275</v>
      </c>
      <c r="G276" s="2">
        <v>45967</v>
      </c>
      <c r="H276" s="1" t="s">
        <v>28</v>
      </c>
      <c r="I276" s="1" t="s">
        <v>28</v>
      </c>
      <c r="J276">
        <v>8</v>
      </c>
      <c r="K276" s="1" t="s">
        <v>62</v>
      </c>
      <c r="L276" s="1" t="s">
        <v>28</v>
      </c>
      <c r="N276">
        <v>-1</v>
      </c>
      <c r="O276" s="1" t="s">
        <v>28</v>
      </c>
      <c r="P276" s="1" t="s">
        <v>63</v>
      </c>
      <c r="Q276" s="1" t="s">
        <v>31</v>
      </c>
      <c r="R276" s="1" t="s">
        <v>28</v>
      </c>
      <c r="S276" s="1" t="s">
        <v>28</v>
      </c>
      <c r="T276" s="1" t="s">
        <v>32</v>
      </c>
      <c r="U276" s="1" t="s">
        <v>32</v>
      </c>
      <c r="V276">
        <v>1936104</v>
      </c>
      <c r="W276" s="1" t="s">
        <v>64</v>
      </c>
      <c r="X276" s="1" t="s">
        <v>28</v>
      </c>
      <c r="AA276" s="1" t="s">
        <v>28</v>
      </c>
    </row>
    <row r="277" spans="1:27" x14ac:dyDescent="0.35">
      <c r="A277" t="str">
        <f>VLOOKUP(F277,'[1]Trans Pte X Contabilizar'!$A:$B,2,FALSE)</f>
        <v>ALMACENES</v>
      </c>
      <c r="C277" s="1" t="s">
        <v>68</v>
      </c>
      <c r="D277" s="11">
        <v>-377671.67999999999</v>
      </c>
      <c r="E277" s="1" t="s">
        <v>61</v>
      </c>
      <c r="F277">
        <v>1276</v>
      </c>
      <c r="G277" s="2">
        <v>45967</v>
      </c>
      <c r="H277" s="1" t="s">
        <v>28</v>
      </c>
      <c r="I277" s="1" t="s">
        <v>28</v>
      </c>
      <c r="J277">
        <v>1</v>
      </c>
      <c r="K277" s="1" t="s">
        <v>62</v>
      </c>
      <c r="L277" s="1" t="s">
        <v>28</v>
      </c>
      <c r="N277">
        <v>-9</v>
      </c>
      <c r="O277" s="1" t="s">
        <v>28</v>
      </c>
      <c r="P277" s="1" t="s">
        <v>69</v>
      </c>
      <c r="Q277" s="1" t="s">
        <v>31</v>
      </c>
      <c r="R277" s="1" t="s">
        <v>28</v>
      </c>
      <c r="S277" s="1" t="s">
        <v>28</v>
      </c>
      <c r="T277" s="1" t="s">
        <v>32</v>
      </c>
      <c r="U277" s="1" t="s">
        <v>32</v>
      </c>
      <c r="V277">
        <v>1936105</v>
      </c>
      <c r="W277" s="1" t="s">
        <v>64</v>
      </c>
      <c r="X277" s="1" t="s">
        <v>28</v>
      </c>
      <c r="AA277" s="1" t="s">
        <v>28</v>
      </c>
    </row>
    <row r="278" spans="1:27" x14ac:dyDescent="0.35">
      <c r="A278" t="str">
        <f>VLOOKUP(F278,'[1]Trans Pte X Contabilizar'!$A:$B,2,FALSE)</f>
        <v>ALMACENES</v>
      </c>
      <c r="C278" s="1" t="s">
        <v>68</v>
      </c>
      <c r="D278" s="11">
        <v>377671.67999999999</v>
      </c>
      <c r="E278" s="1" t="s">
        <v>61</v>
      </c>
      <c r="F278">
        <v>1276</v>
      </c>
      <c r="G278" s="2">
        <v>45967</v>
      </c>
      <c r="H278" s="1" t="s">
        <v>28</v>
      </c>
      <c r="I278" s="1" t="s">
        <v>28</v>
      </c>
      <c r="J278">
        <v>2</v>
      </c>
      <c r="K278" s="1" t="s">
        <v>62</v>
      </c>
      <c r="L278" s="1" t="s">
        <v>28</v>
      </c>
      <c r="N278">
        <v>9</v>
      </c>
      <c r="O278" s="1" t="s">
        <v>28</v>
      </c>
      <c r="P278" s="1" t="s">
        <v>69</v>
      </c>
      <c r="Q278" s="1" t="s">
        <v>31</v>
      </c>
      <c r="R278" s="1" t="s">
        <v>28</v>
      </c>
      <c r="S278" s="1" t="s">
        <v>28</v>
      </c>
      <c r="T278" s="1" t="s">
        <v>32</v>
      </c>
      <c r="U278" s="1" t="s">
        <v>32</v>
      </c>
      <c r="V278">
        <v>1936105</v>
      </c>
      <c r="W278" s="1" t="s">
        <v>64</v>
      </c>
      <c r="X278" s="1" t="s">
        <v>28</v>
      </c>
      <c r="AA278" s="1" t="s">
        <v>28</v>
      </c>
    </row>
    <row r="279" spans="1:27" x14ac:dyDescent="0.35">
      <c r="A279" t="str">
        <f>VLOOKUP(F279,'[1]Trans Pte X Contabilizar'!$A:$B,2,FALSE)</f>
        <v>ALMACENES</v>
      </c>
      <c r="C279" s="1" t="s">
        <v>70</v>
      </c>
      <c r="D279" s="11">
        <v>377671.67999999999</v>
      </c>
      <c r="E279" s="1" t="s">
        <v>61</v>
      </c>
      <c r="F279">
        <v>1276</v>
      </c>
      <c r="G279" s="2">
        <v>45967</v>
      </c>
      <c r="H279" s="1" t="s">
        <v>28</v>
      </c>
      <c r="I279" s="1" t="s">
        <v>28</v>
      </c>
      <c r="J279">
        <v>3</v>
      </c>
      <c r="K279" s="1" t="s">
        <v>62</v>
      </c>
      <c r="L279" s="1" t="s">
        <v>28</v>
      </c>
      <c r="N279">
        <v>9</v>
      </c>
      <c r="O279" s="1" t="s">
        <v>28</v>
      </c>
      <c r="P279" s="1" t="s">
        <v>69</v>
      </c>
      <c r="Q279" s="1" t="s">
        <v>31</v>
      </c>
      <c r="R279" s="1" t="s">
        <v>28</v>
      </c>
      <c r="S279" s="1" t="s">
        <v>28</v>
      </c>
      <c r="T279" s="1" t="s">
        <v>32</v>
      </c>
      <c r="U279" s="1" t="s">
        <v>32</v>
      </c>
      <c r="V279">
        <v>1936105</v>
      </c>
      <c r="W279" s="1" t="s">
        <v>64</v>
      </c>
      <c r="X279" s="1" t="s">
        <v>28</v>
      </c>
      <c r="AA279" s="1" t="s">
        <v>28</v>
      </c>
    </row>
    <row r="280" spans="1:27" x14ac:dyDescent="0.35">
      <c r="A280" t="str">
        <f>VLOOKUP(F280,'[1]Trans Pte X Contabilizar'!$A:$B,2,FALSE)</f>
        <v>ALMACENES</v>
      </c>
      <c r="C280" s="1" t="s">
        <v>70</v>
      </c>
      <c r="D280" s="11">
        <v>-377671.67999999999</v>
      </c>
      <c r="E280" s="1" t="s">
        <v>61</v>
      </c>
      <c r="F280">
        <v>1276</v>
      </c>
      <c r="G280" s="2">
        <v>45967</v>
      </c>
      <c r="H280" s="1" t="s">
        <v>28</v>
      </c>
      <c r="I280" s="1" t="s">
        <v>28</v>
      </c>
      <c r="J280">
        <v>4</v>
      </c>
      <c r="K280" s="1" t="s">
        <v>62</v>
      </c>
      <c r="L280" s="1" t="s">
        <v>28</v>
      </c>
      <c r="N280">
        <v>-9</v>
      </c>
      <c r="O280" s="1" t="s">
        <v>28</v>
      </c>
      <c r="P280" s="1" t="s">
        <v>69</v>
      </c>
      <c r="Q280" s="1" t="s">
        <v>31</v>
      </c>
      <c r="R280" s="1" t="s">
        <v>28</v>
      </c>
      <c r="S280" s="1" t="s">
        <v>28</v>
      </c>
      <c r="T280" s="1" t="s">
        <v>32</v>
      </c>
      <c r="U280" s="1" t="s">
        <v>32</v>
      </c>
      <c r="V280">
        <v>1936105</v>
      </c>
      <c r="W280" s="1" t="s">
        <v>64</v>
      </c>
      <c r="X280" s="1" t="s">
        <v>28</v>
      </c>
      <c r="AA280" s="1" t="s">
        <v>28</v>
      </c>
    </row>
    <row r="281" spans="1:27" x14ac:dyDescent="0.35">
      <c r="A281" t="str">
        <f>VLOOKUP(F281,'[1]Trans Pte X Contabilizar'!$A:$B,2,FALSE)</f>
        <v>ALMACENES</v>
      </c>
      <c r="C281" s="1" t="s">
        <v>71</v>
      </c>
      <c r="D281" s="11">
        <v>-926440.04</v>
      </c>
      <c r="E281" s="1" t="s">
        <v>61</v>
      </c>
      <c r="F281">
        <v>1277</v>
      </c>
      <c r="G281" s="2">
        <v>45967</v>
      </c>
      <c r="H281" s="1" t="s">
        <v>28</v>
      </c>
      <c r="I281" s="1" t="s">
        <v>28</v>
      </c>
      <c r="J281">
        <v>1</v>
      </c>
      <c r="K281" s="1" t="s">
        <v>72</v>
      </c>
      <c r="L281" s="1" t="s">
        <v>28</v>
      </c>
      <c r="N281">
        <v>-37</v>
      </c>
      <c r="O281" s="1" t="s">
        <v>28</v>
      </c>
      <c r="P281" s="1" t="s">
        <v>73</v>
      </c>
      <c r="Q281" s="1" t="s">
        <v>31</v>
      </c>
      <c r="R281" s="1" t="s">
        <v>28</v>
      </c>
      <c r="S281" s="1" t="s">
        <v>28</v>
      </c>
      <c r="T281" s="1" t="s">
        <v>32</v>
      </c>
      <c r="U281" s="1" t="s">
        <v>32</v>
      </c>
      <c r="V281">
        <v>1936142</v>
      </c>
      <c r="W281" s="1" t="s">
        <v>64</v>
      </c>
      <c r="X281" s="1" t="s">
        <v>28</v>
      </c>
      <c r="AA281" s="1" t="s">
        <v>28</v>
      </c>
    </row>
    <row r="282" spans="1:27" x14ac:dyDescent="0.35">
      <c r="A282" t="str">
        <f>VLOOKUP(F282,'[1]Trans Pte X Contabilizar'!$A:$B,2,FALSE)</f>
        <v>ALMACENES</v>
      </c>
      <c r="C282" s="1" t="s">
        <v>71</v>
      </c>
      <c r="D282" s="11">
        <v>926440.04</v>
      </c>
      <c r="E282" s="1" t="s">
        <v>61</v>
      </c>
      <c r="F282">
        <v>1277</v>
      </c>
      <c r="G282" s="2">
        <v>45967</v>
      </c>
      <c r="H282" s="1" t="s">
        <v>28</v>
      </c>
      <c r="I282" s="1" t="s">
        <v>28</v>
      </c>
      <c r="J282">
        <v>2</v>
      </c>
      <c r="K282" s="1" t="s">
        <v>72</v>
      </c>
      <c r="L282" s="1" t="s">
        <v>28</v>
      </c>
      <c r="N282">
        <v>37</v>
      </c>
      <c r="O282" s="1" t="s">
        <v>28</v>
      </c>
      <c r="P282" s="1" t="s">
        <v>73</v>
      </c>
      <c r="Q282" s="1" t="s">
        <v>31</v>
      </c>
      <c r="R282" s="1" t="s">
        <v>28</v>
      </c>
      <c r="S282" s="1" t="s">
        <v>28</v>
      </c>
      <c r="T282" s="1" t="s">
        <v>32</v>
      </c>
      <c r="U282" s="1" t="s">
        <v>32</v>
      </c>
      <c r="V282">
        <v>1936142</v>
      </c>
      <c r="W282" s="1" t="s">
        <v>64</v>
      </c>
      <c r="X282" s="1" t="s">
        <v>28</v>
      </c>
      <c r="AA282" s="1" t="s">
        <v>28</v>
      </c>
    </row>
    <row r="283" spans="1:27" x14ac:dyDescent="0.35">
      <c r="A283" t="str">
        <f>VLOOKUP(F283,'[1]Trans Pte X Contabilizar'!$A:$B,2,FALSE)</f>
        <v>ALMACENES</v>
      </c>
      <c r="C283" s="1" t="s">
        <v>74</v>
      </c>
      <c r="D283" s="11">
        <v>926440.04</v>
      </c>
      <c r="E283" s="1" t="s">
        <v>61</v>
      </c>
      <c r="F283">
        <v>1277</v>
      </c>
      <c r="G283" s="2">
        <v>45967</v>
      </c>
      <c r="H283" s="1" t="s">
        <v>28</v>
      </c>
      <c r="I283" s="1" t="s">
        <v>28</v>
      </c>
      <c r="J283">
        <v>3</v>
      </c>
      <c r="K283" s="1" t="s">
        <v>72</v>
      </c>
      <c r="L283" s="1" t="s">
        <v>28</v>
      </c>
      <c r="N283">
        <v>37</v>
      </c>
      <c r="O283" s="1" t="s">
        <v>28</v>
      </c>
      <c r="P283" s="1" t="s">
        <v>73</v>
      </c>
      <c r="Q283" s="1" t="s">
        <v>31</v>
      </c>
      <c r="R283" s="1" t="s">
        <v>28</v>
      </c>
      <c r="S283" s="1" t="s">
        <v>28</v>
      </c>
      <c r="T283" s="1" t="s">
        <v>32</v>
      </c>
      <c r="U283" s="1" t="s">
        <v>32</v>
      </c>
      <c r="V283">
        <v>1936142</v>
      </c>
      <c r="W283" s="1" t="s">
        <v>64</v>
      </c>
      <c r="X283" s="1" t="s">
        <v>28</v>
      </c>
      <c r="AA283" s="1" t="s">
        <v>28</v>
      </c>
    </row>
    <row r="284" spans="1:27" x14ac:dyDescent="0.35">
      <c r="A284" t="str">
        <f>VLOOKUP(F284,'[1]Trans Pte X Contabilizar'!$A:$B,2,FALSE)</f>
        <v>ALMACENES</v>
      </c>
      <c r="C284" s="1" t="s">
        <v>74</v>
      </c>
      <c r="D284" s="11">
        <v>-926440.04</v>
      </c>
      <c r="E284" s="1" t="s">
        <v>61</v>
      </c>
      <c r="F284">
        <v>1277</v>
      </c>
      <c r="G284" s="2">
        <v>45967</v>
      </c>
      <c r="H284" s="1" t="s">
        <v>28</v>
      </c>
      <c r="I284" s="1" t="s">
        <v>28</v>
      </c>
      <c r="J284">
        <v>4</v>
      </c>
      <c r="K284" s="1" t="s">
        <v>72</v>
      </c>
      <c r="L284" s="1" t="s">
        <v>28</v>
      </c>
      <c r="N284">
        <v>-37</v>
      </c>
      <c r="O284" s="1" t="s">
        <v>28</v>
      </c>
      <c r="P284" s="1" t="s">
        <v>73</v>
      </c>
      <c r="Q284" s="1" t="s">
        <v>31</v>
      </c>
      <c r="R284" s="1" t="s">
        <v>28</v>
      </c>
      <c r="S284" s="1" t="s">
        <v>28</v>
      </c>
      <c r="T284" s="1" t="s">
        <v>32</v>
      </c>
      <c r="U284" s="1" t="s">
        <v>32</v>
      </c>
      <c r="V284">
        <v>1936142</v>
      </c>
      <c r="W284" s="1" t="s">
        <v>64</v>
      </c>
      <c r="X284" s="1" t="s">
        <v>28</v>
      </c>
      <c r="AA284" s="1" t="s">
        <v>28</v>
      </c>
    </row>
    <row r="285" spans="1:27" x14ac:dyDescent="0.35">
      <c r="A285" t="str">
        <f>VLOOKUP(F285,'[1]Trans Pte X Contabilizar'!$A:$B,2,FALSE)</f>
        <v>ALMACENES</v>
      </c>
      <c r="C285" s="1" t="s">
        <v>75</v>
      </c>
      <c r="D285" s="11">
        <v>-16663400</v>
      </c>
      <c r="E285" s="1" t="s">
        <v>61</v>
      </c>
      <c r="F285">
        <v>1280</v>
      </c>
      <c r="G285" s="2">
        <v>45980</v>
      </c>
      <c r="H285" s="1" t="s">
        <v>28</v>
      </c>
      <c r="I285" s="1" t="s">
        <v>28</v>
      </c>
      <c r="J285">
        <v>1</v>
      </c>
      <c r="K285" s="1" t="s">
        <v>76</v>
      </c>
      <c r="L285" s="1" t="s">
        <v>28</v>
      </c>
      <c r="N285">
        <v>-1</v>
      </c>
      <c r="O285" s="1" t="s">
        <v>28</v>
      </c>
      <c r="P285" s="1" t="s">
        <v>77</v>
      </c>
      <c r="Q285" s="1" t="s">
        <v>31</v>
      </c>
      <c r="R285" s="1" t="s">
        <v>28</v>
      </c>
      <c r="S285" s="1" t="s">
        <v>28</v>
      </c>
      <c r="T285" s="1" t="s">
        <v>32</v>
      </c>
      <c r="U285" s="1" t="s">
        <v>32</v>
      </c>
      <c r="V285">
        <v>1940615</v>
      </c>
      <c r="W285" s="1" t="s">
        <v>64</v>
      </c>
      <c r="X285" s="1" t="s">
        <v>28</v>
      </c>
      <c r="AA285" s="1" t="s">
        <v>28</v>
      </c>
    </row>
    <row r="286" spans="1:27" x14ac:dyDescent="0.35">
      <c r="A286" t="str">
        <f>VLOOKUP(F286,'[1]Trans Pte X Contabilizar'!$A:$B,2,FALSE)</f>
        <v>ALMACENES</v>
      </c>
      <c r="C286" s="1" t="s">
        <v>75</v>
      </c>
      <c r="D286" s="11">
        <v>16663400</v>
      </c>
      <c r="E286" s="1" t="s">
        <v>61</v>
      </c>
      <c r="F286">
        <v>1280</v>
      </c>
      <c r="G286" s="2">
        <v>45980</v>
      </c>
      <c r="H286" s="1" t="s">
        <v>28</v>
      </c>
      <c r="I286" s="1" t="s">
        <v>28</v>
      </c>
      <c r="J286">
        <v>2</v>
      </c>
      <c r="K286" s="1" t="s">
        <v>76</v>
      </c>
      <c r="L286" s="1" t="s">
        <v>28</v>
      </c>
      <c r="N286">
        <v>1</v>
      </c>
      <c r="O286" s="1" t="s">
        <v>28</v>
      </c>
      <c r="P286" s="1" t="s">
        <v>77</v>
      </c>
      <c r="Q286" s="1" t="s">
        <v>31</v>
      </c>
      <c r="R286" s="1" t="s">
        <v>28</v>
      </c>
      <c r="S286" s="1" t="s">
        <v>28</v>
      </c>
      <c r="T286" s="1" t="s">
        <v>32</v>
      </c>
      <c r="U286" s="1" t="s">
        <v>32</v>
      </c>
      <c r="V286">
        <v>1940615</v>
      </c>
      <c r="W286" s="1" t="s">
        <v>64</v>
      </c>
      <c r="X286" s="1" t="s">
        <v>28</v>
      </c>
      <c r="AA286" s="1" t="s">
        <v>28</v>
      </c>
    </row>
    <row r="287" spans="1:27" x14ac:dyDescent="0.35">
      <c r="A287" t="str">
        <f>VLOOKUP(F287,'[1]Trans Pte X Contabilizar'!$A:$B,2,FALSE)</f>
        <v>ALMACENES</v>
      </c>
      <c r="C287" s="1" t="s">
        <v>75</v>
      </c>
      <c r="D287" s="11">
        <v>-16663400</v>
      </c>
      <c r="E287" s="1" t="s">
        <v>61</v>
      </c>
      <c r="F287">
        <v>1280</v>
      </c>
      <c r="G287" s="2">
        <v>45980</v>
      </c>
      <c r="H287" s="1" t="s">
        <v>28</v>
      </c>
      <c r="I287" s="1" t="s">
        <v>28</v>
      </c>
      <c r="J287">
        <v>3</v>
      </c>
      <c r="K287" s="1" t="s">
        <v>76</v>
      </c>
      <c r="L287" s="1" t="s">
        <v>28</v>
      </c>
      <c r="N287">
        <v>-1</v>
      </c>
      <c r="O287" s="1" t="s">
        <v>28</v>
      </c>
      <c r="P287" s="1" t="s">
        <v>77</v>
      </c>
      <c r="Q287" s="1" t="s">
        <v>31</v>
      </c>
      <c r="R287" s="1" t="s">
        <v>28</v>
      </c>
      <c r="S287" s="1" t="s">
        <v>28</v>
      </c>
      <c r="T287" s="1" t="s">
        <v>32</v>
      </c>
      <c r="U287" s="1" t="s">
        <v>32</v>
      </c>
      <c r="V287">
        <v>1940615</v>
      </c>
      <c r="W287" s="1" t="s">
        <v>64</v>
      </c>
      <c r="X287" s="1" t="s">
        <v>28</v>
      </c>
      <c r="AA287" s="1" t="s">
        <v>28</v>
      </c>
    </row>
    <row r="288" spans="1:27" x14ac:dyDescent="0.35">
      <c r="A288" t="str">
        <f>VLOOKUP(F288,'[1]Trans Pte X Contabilizar'!$A:$B,2,FALSE)</f>
        <v>ALMACENES</v>
      </c>
      <c r="C288" s="1" t="s">
        <v>75</v>
      </c>
      <c r="D288" s="11">
        <v>16663400</v>
      </c>
      <c r="E288" s="1" t="s">
        <v>61</v>
      </c>
      <c r="F288">
        <v>1280</v>
      </c>
      <c r="G288" s="2">
        <v>45980</v>
      </c>
      <c r="H288" s="1" t="s">
        <v>28</v>
      </c>
      <c r="I288" s="1" t="s">
        <v>28</v>
      </c>
      <c r="J288">
        <v>4</v>
      </c>
      <c r="K288" s="1" t="s">
        <v>76</v>
      </c>
      <c r="L288" s="1" t="s">
        <v>28</v>
      </c>
      <c r="N288">
        <v>1</v>
      </c>
      <c r="O288" s="1" t="s">
        <v>28</v>
      </c>
      <c r="P288" s="1" t="s">
        <v>77</v>
      </c>
      <c r="Q288" s="1" t="s">
        <v>31</v>
      </c>
      <c r="R288" s="1" t="s">
        <v>28</v>
      </c>
      <c r="S288" s="1" t="s">
        <v>28</v>
      </c>
      <c r="T288" s="1" t="s">
        <v>32</v>
      </c>
      <c r="U288" s="1" t="s">
        <v>32</v>
      </c>
      <c r="V288">
        <v>1940615</v>
      </c>
      <c r="W288" s="1" t="s">
        <v>64</v>
      </c>
      <c r="X288" s="1" t="s">
        <v>28</v>
      </c>
      <c r="AA288" s="1" t="s">
        <v>28</v>
      </c>
    </row>
    <row r="289" spans="1:27" x14ac:dyDescent="0.35">
      <c r="A289" t="str">
        <f>VLOOKUP(F289,'[1]Trans Pte X Contabilizar'!$A:$B,2,FALSE)</f>
        <v>ALMACENES</v>
      </c>
      <c r="C289" s="1" t="s">
        <v>75</v>
      </c>
      <c r="D289" s="11">
        <v>-16663400</v>
      </c>
      <c r="E289" s="1" t="s">
        <v>61</v>
      </c>
      <c r="F289">
        <v>1280</v>
      </c>
      <c r="G289" s="2">
        <v>45980</v>
      </c>
      <c r="H289" s="1" t="s">
        <v>28</v>
      </c>
      <c r="I289" s="1" t="s">
        <v>28</v>
      </c>
      <c r="J289">
        <v>5</v>
      </c>
      <c r="K289" s="1" t="s">
        <v>76</v>
      </c>
      <c r="L289" s="1" t="s">
        <v>28</v>
      </c>
      <c r="N289">
        <v>-1</v>
      </c>
      <c r="O289" s="1" t="s">
        <v>28</v>
      </c>
      <c r="P289" s="1" t="s">
        <v>77</v>
      </c>
      <c r="Q289" s="1" t="s">
        <v>31</v>
      </c>
      <c r="R289" s="1" t="s">
        <v>28</v>
      </c>
      <c r="S289" s="1" t="s">
        <v>28</v>
      </c>
      <c r="T289" s="1" t="s">
        <v>32</v>
      </c>
      <c r="U289" s="1" t="s">
        <v>32</v>
      </c>
      <c r="V289">
        <v>1940615</v>
      </c>
      <c r="W289" s="1" t="s">
        <v>64</v>
      </c>
      <c r="X289" s="1" t="s">
        <v>28</v>
      </c>
      <c r="AA289" s="1" t="s">
        <v>28</v>
      </c>
    </row>
    <row r="290" spans="1:27" x14ac:dyDescent="0.35">
      <c r="A290" t="str">
        <f>VLOOKUP(F290,'[1]Trans Pte X Contabilizar'!$A:$B,2,FALSE)</f>
        <v>ALMACENES</v>
      </c>
      <c r="C290" s="1" t="s">
        <v>75</v>
      </c>
      <c r="D290" s="11">
        <v>16663400</v>
      </c>
      <c r="E290" s="1" t="s">
        <v>61</v>
      </c>
      <c r="F290">
        <v>1280</v>
      </c>
      <c r="G290" s="2">
        <v>45980</v>
      </c>
      <c r="H290" s="1" t="s">
        <v>28</v>
      </c>
      <c r="I290" s="1" t="s">
        <v>28</v>
      </c>
      <c r="J290">
        <v>6</v>
      </c>
      <c r="K290" s="1" t="s">
        <v>76</v>
      </c>
      <c r="L290" s="1" t="s">
        <v>28</v>
      </c>
      <c r="N290">
        <v>1</v>
      </c>
      <c r="O290" s="1" t="s">
        <v>28</v>
      </c>
      <c r="P290" s="1" t="s">
        <v>77</v>
      </c>
      <c r="Q290" s="1" t="s">
        <v>31</v>
      </c>
      <c r="R290" s="1" t="s">
        <v>28</v>
      </c>
      <c r="S290" s="1" t="s">
        <v>28</v>
      </c>
      <c r="T290" s="1" t="s">
        <v>32</v>
      </c>
      <c r="U290" s="1" t="s">
        <v>32</v>
      </c>
      <c r="V290">
        <v>1940615</v>
      </c>
      <c r="W290" s="1" t="s">
        <v>64</v>
      </c>
      <c r="X290" s="1" t="s">
        <v>28</v>
      </c>
      <c r="AA290" s="1" t="s">
        <v>28</v>
      </c>
    </row>
    <row r="291" spans="1:27" x14ac:dyDescent="0.35">
      <c r="A291" t="str">
        <f>VLOOKUP(F291,'[1]Trans Pte X Contabilizar'!$A:$B,2,FALSE)</f>
        <v>ALMACENES</v>
      </c>
      <c r="C291" s="1" t="s">
        <v>75</v>
      </c>
      <c r="D291" s="11">
        <v>-16663400</v>
      </c>
      <c r="E291" s="1" t="s">
        <v>61</v>
      </c>
      <c r="F291">
        <v>1280</v>
      </c>
      <c r="G291" s="2">
        <v>45980</v>
      </c>
      <c r="H291" s="1" t="s">
        <v>28</v>
      </c>
      <c r="I291" s="1" t="s">
        <v>28</v>
      </c>
      <c r="J291">
        <v>7</v>
      </c>
      <c r="K291" s="1" t="s">
        <v>76</v>
      </c>
      <c r="L291" s="1" t="s">
        <v>28</v>
      </c>
      <c r="N291">
        <v>-1</v>
      </c>
      <c r="O291" s="1" t="s">
        <v>28</v>
      </c>
      <c r="P291" s="1" t="s">
        <v>77</v>
      </c>
      <c r="Q291" s="1" t="s">
        <v>31</v>
      </c>
      <c r="R291" s="1" t="s">
        <v>28</v>
      </c>
      <c r="S291" s="1" t="s">
        <v>28</v>
      </c>
      <c r="T291" s="1" t="s">
        <v>32</v>
      </c>
      <c r="U291" s="1" t="s">
        <v>32</v>
      </c>
      <c r="V291">
        <v>1940615</v>
      </c>
      <c r="W291" s="1" t="s">
        <v>64</v>
      </c>
      <c r="X291" s="1" t="s">
        <v>28</v>
      </c>
      <c r="AA291" s="1" t="s">
        <v>28</v>
      </c>
    </row>
    <row r="292" spans="1:27" x14ac:dyDescent="0.35">
      <c r="A292" t="str">
        <f>VLOOKUP(F292,'[1]Trans Pte X Contabilizar'!$A:$B,2,FALSE)</f>
        <v>ALMACENES</v>
      </c>
      <c r="C292" s="1" t="s">
        <v>75</v>
      </c>
      <c r="D292" s="11">
        <v>16663400</v>
      </c>
      <c r="E292" s="1" t="s">
        <v>61</v>
      </c>
      <c r="F292">
        <v>1280</v>
      </c>
      <c r="G292" s="2">
        <v>45980</v>
      </c>
      <c r="H292" s="1" t="s">
        <v>28</v>
      </c>
      <c r="I292" s="1" t="s">
        <v>28</v>
      </c>
      <c r="J292">
        <v>8</v>
      </c>
      <c r="K292" s="1" t="s">
        <v>76</v>
      </c>
      <c r="L292" s="1" t="s">
        <v>28</v>
      </c>
      <c r="N292">
        <v>1</v>
      </c>
      <c r="O292" s="1" t="s">
        <v>28</v>
      </c>
      <c r="P292" s="1" t="s">
        <v>77</v>
      </c>
      <c r="Q292" s="1" t="s">
        <v>31</v>
      </c>
      <c r="R292" s="1" t="s">
        <v>28</v>
      </c>
      <c r="S292" s="1" t="s">
        <v>28</v>
      </c>
      <c r="T292" s="1" t="s">
        <v>32</v>
      </c>
      <c r="U292" s="1" t="s">
        <v>32</v>
      </c>
      <c r="V292">
        <v>1940615</v>
      </c>
      <c r="W292" s="1" t="s">
        <v>64</v>
      </c>
      <c r="X292" s="1" t="s">
        <v>28</v>
      </c>
      <c r="AA292" s="1" t="s">
        <v>28</v>
      </c>
    </row>
    <row r="293" spans="1:27" x14ac:dyDescent="0.35">
      <c r="A293" t="str">
        <f>VLOOKUP(F293,'[1]Trans Pte X Contabilizar'!$A:$B,2,FALSE)</f>
        <v>ALMACENES</v>
      </c>
      <c r="C293" s="1" t="s">
        <v>75</v>
      </c>
      <c r="D293" s="11">
        <v>-16663400</v>
      </c>
      <c r="E293" s="1" t="s">
        <v>61</v>
      </c>
      <c r="F293">
        <v>1280</v>
      </c>
      <c r="G293" s="2">
        <v>45980</v>
      </c>
      <c r="H293" s="1" t="s">
        <v>28</v>
      </c>
      <c r="I293" s="1" t="s">
        <v>28</v>
      </c>
      <c r="J293">
        <v>9</v>
      </c>
      <c r="K293" s="1" t="s">
        <v>76</v>
      </c>
      <c r="L293" s="1" t="s">
        <v>28</v>
      </c>
      <c r="N293">
        <v>-1</v>
      </c>
      <c r="O293" s="1" t="s">
        <v>28</v>
      </c>
      <c r="P293" s="1" t="s">
        <v>77</v>
      </c>
      <c r="Q293" s="1" t="s">
        <v>31</v>
      </c>
      <c r="R293" s="1" t="s">
        <v>28</v>
      </c>
      <c r="S293" s="1" t="s">
        <v>28</v>
      </c>
      <c r="T293" s="1" t="s">
        <v>32</v>
      </c>
      <c r="U293" s="1" t="s">
        <v>32</v>
      </c>
      <c r="V293">
        <v>1940615</v>
      </c>
      <c r="W293" s="1" t="s">
        <v>64</v>
      </c>
      <c r="X293" s="1" t="s">
        <v>28</v>
      </c>
      <c r="AA293" s="1" t="s">
        <v>28</v>
      </c>
    </row>
    <row r="294" spans="1:27" x14ac:dyDescent="0.35">
      <c r="A294" t="str">
        <f>VLOOKUP(F294,'[1]Trans Pte X Contabilizar'!$A:$B,2,FALSE)</f>
        <v>ALMACENES</v>
      </c>
      <c r="C294" s="1" t="s">
        <v>75</v>
      </c>
      <c r="D294" s="11">
        <v>16663400</v>
      </c>
      <c r="E294" s="1" t="s">
        <v>61</v>
      </c>
      <c r="F294">
        <v>1280</v>
      </c>
      <c r="G294" s="2">
        <v>45980</v>
      </c>
      <c r="H294" s="1" t="s">
        <v>28</v>
      </c>
      <c r="I294" s="1" t="s">
        <v>28</v>
      </c>
      <c r="J294">
        <v>10</v>
      </c>
      <c r="K294" s="1" t="s">
        <v>76</v>
      </c>
      <c r="L294" s="1" t="s">
        <v>28</v>
      </c>
      <c r="N294">
        <v>1</v>
      </c>
      <c r="O294" s="1" t="s">
        <v>28</v>
      </c>
      <c r="P294" s="1" t="s">
        <v>77</v>
      </c>
      <c r="Q294" s="1" t="s">
        <v>31</v>
      </c>
      <c r="R294" s="1" t="s">
        <v>28</v>
      </c>
      <c r="S294" s="1" t="s">
        <v>28</v>
      </c>
      <c r="T294" s="1" t="s">
        <v>32</v>
      </c>
      <c r="U294" s="1" t="s">
        <v>32</v>
      </c>
      <c r="V294">
        <v>1940615</v>
      </c>
      <c r="W294" s="1" t="s">
        <v>64</v>
      </c>
      <c r="X294" s="1" t="s">
        <v>28</v>
      </c>
      <c r="AA294" s="1" t="s">
        <v>28</v>
      </c>
    </row>
    <row r="295" spans="1:27" x14ac:dyDescent="0.35">
      <c r="A295" t="str">
        <f>VLOOKUP(F295,'[1]Trans Pte X Contabilizar'!$A:$B,2,FALSE)</f>
        <v>ALMACENES</v>
      </c>
      <c r="C295" s="1" t="s">
        <v>75</v>
      </c>
      <c r="D295" s="11">
        <v>-16663400</v>
      </c>
      <c r="E295" s="1" t="s">
        <v>61</v>
      </c>
      <c r="F295">
        <v>1280</v>
      </c>
      <c r="G295" s="2">
        <v>45980</v>
      </c>
      <c r="H295" s="1" t="s">
        <v>28</v>
      </c>
      <c r="I295" s="1" t="s">
        <v>28</v>
      </c>
      <c r="J295">
        <v>11</v>
      </c>
      <c r="K295" s="1" t="s">
        <v>76</v>
      </c>
      <c r="L295" s="1" t="s">
        <v>28</v>
      </c>
      <c r="N295">
        <v>-1</v>
      </c>
      <c r="O295" s="1" t="s">
        <v>28</v>
      </c>
      <c r="P295" s="1" t="s">
        <v>77</v>
      </c>
      <c r="Q295" s="1" t="s">
        <v>31</v>
      </c>
      <c r="R295" s="1" t="s">
        <v>28</v>
      </c>
      <c r="S295" s="1" t="s">
        <v>28</v>
      </c>
      <c r="T295" s="1" t="s">
        <v>32</v>
      </c>
      <c r="U295" s="1" t="s">
        <v>32</v>
      </c>
      <c r="V295">
        <v>1940615</v>
      </c>
      <c r="W295" s="1" t="s">
        <v>64</v>
      </c>
      <c r="X295" s="1" t="s">
        <v>28</v>
      </c>
      <c r="AA295" s="1" t="s">
        <v>28</v>
      </c>
    </row>
    <row r="296" spans="1:27" x14ac:dyDescent="0.35">
      <c r="A296" t="str">
        <f>VLOOKUP(F296,'[1]Trans Pte X Contabilizar'!$A:$B,2,FALSE)</f>
        <v>ALMACENES</v>
      </c>
      <c r="C296" s="1" t="s">
        <v>75</v>
      </c>
      <c r="D296" s="11">
        <v>16663400</v>
      </c>
      <c r="E296" s="1" t="s">
        <v>61</v>
      </c>
      <c r="F296">
        <v>1280</v>
      </c>
      <c r="G296" s="2">
        <v>45980</v>
      </c>
      <c r="H296" s="1" t="s">
        <v>28</v>
      </c>
      <c r="I296" s="1" t="s">
        <v>28</v>
      </c>
      <c r="J296">
        <v>12</v>
      </c>
      <c r="K296" s="1" t="s">
        <v>76</v>
      </c>
      <c r="L296" s="1" t="s">
        <v>28</v>
      </c>
      <c r="N296">
        <v>1</v>
      </c>
      <c r="O296" s="1" t="s">
        <v>28</v>
      </c>
      <c r="P296" s="1" t="s">
        <v>77</v>
      </c>
      <c r="Q296" s="1" t="s">
        <v>31</v>
      </c>
      <c r="R296" s="1" t="s">
        <v>28</v>
      </c>
      <c r="S296" s="1" t="s">
        <v>28</v>
      </c>
      <c r="T296" s="1" t="s">
        <v>32</v>
      </c>
      <c r="U296" s="1" t="s">
        <v>32</v>
      </c>
      <c r="V296">
        <v>1940615</v>
      </c>
      <c r="W296" s="1" t="s">
        <v>64</v>
      </c>
      <c r="X296" s="1" t="s">
        <v>28</v>
      </c>
      <c r="AA296" s="1" t="s">
        <v>28</v>
      </c>
    </row>
    <row r="297" spans="1:27" x14ac:dyDescent="0.35">
      <c r="A297" t="str">
        <f>VLOOKUP(F297,'[1]Trans Pte X Contabilizar'!$A:$B,2,FALSE)</f>
        <v>ALMACENES</v>
      </c>
      <c r="C297" s="1" t="s">
        <v>78</v>
      </c>
      <c r="D297" s="11">
        <v>16663400</v>
      </c>
      <c r="E297" s="1" t="s">
        <v>61</v>
      </c>
      <c r="F297">
        <v>1280</v>
      </c>
      <c r="G297" s="2">
        <v>45980</v>
      </c>
      <c r="H297" s="1" t="s">
        <v>28</v>
      </c>
      <c r="I297" s="1" t="s">
        <v>28</v>
      </c>
      <c r="J297">
        <v>13</v>
      </c>
      <c r="K297" s="1" t="s">
        <v>76</v>
      </c>
      <c r="L297" s="1" t="s">
        <v>28</v>
      </c>
      <c r="N297">
        <v>1</v>
      </c>
      <c r="O297" s="1" t="s">
        <v>28</v>
      </c>
      <c r="P297" s="1" t="s">
        <v>77</v>
      </c>
      <c r="Q297" s="1" t="s">
        <v>31</v>
      </c>
      <c r="R297" s="1" t="s">
        <v>28</v>
      </c>
      <c r="S297" s="1" t="s">
        <v>28</v>
      </c>
      <c r="T297" s="1" t="s">
        <v>32</v>
      </c>
      <c r="U297" s="1" t="s">
        <v>32</v>
      </c>
      <c r="V297">
        <v>1940615</v>
      </c>
      <c r="W297" s="1" t="s">
        <v>64</v>
      </c>
      <c r="X297" s="1" t="s">
        <v>28</v>
      </c>
      <c r="AA297" s="1" t="s">
        <v>28</v>
      </c>
    </row>
    <row r="298" spans="1:27" x14ac:dyDescent="0.35">
      <c r="A298" t="str">
        <f>VLOOKUP(F298,'[1]Trans Pte X Contabilizar'!$A:$B,2,FALSE)</f>
        <v>ALMACENES</v>
      </c>
      <c r="C298" s="1" t="s">
        <v>78</v>
      </c>
      <c r="D298" s="11">
        <v>-16663400</v>
      </c>
      <c r="E298" s="1" t="s">
        <v>61</v>
      </c>
      <c r="F298">
        <v>1280</v>
      </c>
      <c r="G298" s="2">
        <v>45980</v>
      </c>
      <c r="H298" s="1" t="s">
        <v>28</v>
      </c>
      <c r="I298" s="1" t="s">
        <v>28</v>
      </c>
      <c r="J298">
        <v>14</v>
      </c>
      <c r="K298" s="1" t="s">
        <v>76</v>
      </c>
      <c r="L298" s="1" t="s">
        <v>28</v>
      </c>
      <c r="N298">
        <v>-1</v>
      </c>
      <c r="O298" s="1" t="s">
        <v>28</v>
      </c>
      <c r="P298" s="1" t="s">
        <v>77</v>
      </c>
      <c r="Q298" s="1" t="s">
        <v>31</v>
      </c>
      <c r="R298" s="1" t="s">
        <v>28</v>
      </c>
      <c r="S298" s="1" t="s">
        <v>28</v>
      </c>
      <c r="T298" s="1" t="s">
        <v>32</v>
      </c>
      <c r="U298" s="1" t="s">
        <v>32</v>
      </c>
      <c r="V298">
        <v>1940615</v>
      </c>
      <c r="W298" s="1" t="s">
        <v>64</v>
      </c>
      <c r="X298" s="1" t="s">
        <v>28</v>
      </c>
      <c r="AA298" s="1" t="s">
        <v>28</v>
      </c>
    </row>
    <row r="299" spans="1:27" x14ac:dyDescent="0.35">
      <c r="A299" t="str">
        <f>VLOOKUP(F299,'[1]Trans Pte X Contabilizar'!$A:$B,2,FALSE)</f>
        <v>ALMACENES</v>
      </c>
      <c r="C299" s="1" t="s">
        <v>78</v>
      </c>
      <c r="D299" s="11">
        <v>16663400</v>
      </c>
      <c r="E299" s="1" t="s">
        <v>61</v>
      </c>
      <c r="F299">
        <v>1280</v>
      </c>
      <c r="G299" s="2">
        <v>45980</v>
      </c>
      <c r="H299" s="1" t="s">
        <v>28</v>
      </c>
      <c r="I299" s="1" t="s">
        <v>28</v>
      </c>
      <c r="J299">
        <v>15</v>
      </c>
      <c r="K299" s="1" t="s">
        <v>76</v>
      </c>
      <c r="L299" s="1" t="s">
        <v>28</v>
      </c>
      <c r="N299">
        <v>1</v>
      </c>
      <c r="O299" s="1" t="s">
        <v>28</v>
      </c>
      <c r="P299" s="1" t="s">
        <v>77</v>
      </c>
      <c r="Q299" s="1" t="s">
        <v>31</v>
      </c>
      <c r="R299" s="1" t="s">
        <v>28</v>
      </c>
      <c r="S299" s="1" t="s">
        <v>28</v>
      </c>
      <c r="T299" s="1" t="s">
        <v>32</v>
      </c>
      <c r="U299" s="1" t="s">
        <v>32</v>
      </c>
      <c r="V299">
        <v>1940615</v>
      </c>
      <c r="W299" s="1" t="s">
        <v>64</v>
      </c>
      <c r="X299" s="1" t="s">
        <v>28</v>
      </c>
      <c r="AA299" s="1" t="s">
        <v>28</v>
      </c>
    </row>
    <row r="300" spans="1:27" x14ac:dyDescent="0.35">
      <c r="A300" t="str">
        <f>VLOOKUP(F300,'[1]Trans Pte X Contabilizar'!$A:$B,2,FALSE)</f>
        <v>ALMACENES</v>
      </c>
      <c r="C300" s="1" t="s">
        <v>78</v>
      </c>
      <c r="D300" s="11">
        <v>-16663400</v>
      </c>
      <c r="E300" s="1" t="s">
        <v>61</v>
      </c>
      <c r="F300">
        <v>1280</v>
      </c>
      <c r="G300" s="2">
        <v>45980</v>
      </c>
      <c r="H300" s="1" t="s">
        <v>28</v>
      </c>
      <c r="I300" s="1" t="s">
        <v>28</v>
      </c>
      <c r="J300">
        <v>16</v>
      </c>
      <c r="K300" s="1" t="s">
        <v>76</v>
      </c>
      <c r="L300" s="1" t="s">
        <v>28</v>
      </c>
      <c r="N300">
        <v>-1</v>
      </c>
      <c r="O300" s="1" t="s">
        <v>28</v>
      </c>
      <c r="P300" s="1" t="s">
        <v>77</v>
      </c>
      <c r="Q300" s="1" t="s">
        <v>31</v>
      </c>
      <c r="R300" s="1" t="s">
        <v>28</v>
      </c>
      <c r="S300" s="1" t="s">
        <v>28</v>
      </c>
      <c r="T300" s="1" t="s">
        <v>32</v>
      </c>
      <c r="U300" s="1" t="s">
        <v>32</v>
      </c>
      <c r="V300">
        <v>1940615</v>
      </c>
      <c r="W300" s="1" t="s">
        <v>64</v>
      </c>
      <c r="X300" s="1" t="s">
        <v>28</v>
      </c>
      <c r="AA300" s="1" t="s">
        <v>28</v>
      </c>
    </row>
    <row r="301" spans="1:27" x14ac:dyDescent="0.35">
      <c r="A301" t="str">
        <f>VLOOKUP(F301,'[1]Trans Pte X Contabilizar'!$A:$B,2,FALSE)</f>
        <v>ALMACENES</v>
      </c>
      <c r="C301" s="1" t="s">
        <v>78</v>
      </c>
      <c r="D301" s="11">
        <v>16663400</v>
      </c>
      <c r="E301" s="1" t="s">
        <v>61</v>
      </c>
      <c r="F301">
        <v>1280</v>
      </c>
      <c r="G301" s="2">
        <v>45980</v>
      </c>
      <c r="H301" s="1" t="s">
        <v>28</v>
      </c>
      <c r="I301" s="1" t="s">
        <v>28</v>
      </c>
      <c r="J301">
        <v>17</v>
      </c>
      <c r="K301" s="1" t="s">
        <v>76</v>
      </c>
      <c r="L301" s="1" t="s">
        <v>28</v>
      </c>
      <c r="N301">
        <v>1</v>
      </c>
      <c r="O301" s="1" t="s">
        <v>28</v>
      </c>
      <c r="P301" s="1" t="s">
        <v>77</v>
      </c>
      <c r="Q301" s="1" t="s">
        <v>31</v>
      </c>
      <c r="R301" s="1" t="s">
        <v>28</v>
      </c>
      <c r="S301" s="1" t="s">
        <v>28</v>
      </c>
      <c r="T301" s="1" t="s">
        <v>32</v>
      </c>
      <c r="U301" s="1" t="s">
        <v>32</v>
      </c>
      <c r="V301">
        <v>1940615</v>
      </c>
      <c r="W301" s="1" t="s">
        <v>64</v>
      </c>
      <c r="X301" s="1" t="s">
        <v>28</v>
      </c>
      <c r="AA301" s="1" t="s">
        <v>28</v>
      </c>
    </row>
    <row r="302" spans="1:27" x14ac:dyDescent="0.35">
      <c r="A302" t="str">
        <f>VLOOKUP(F302,'[1]Trans Pte X Contabilizar'!$A:$B,2,FALSE)</f>
        <v>ALMACENES</v>
      </c>
      <c r="C302" s="1" t="s">
        <v>78</v>
      </c>
      <c r="D302" s="11">
        <v>-16663400</v>
      </c>
      <c r="E302" s="1" t="s">
        <v>61</v>
      </c>
      <c r="F302">
        <v>1280</v>
      </c>
      <c r="G302" s="2">
        <v>45980</v>
      </c>
      <c r="H302" s="1" t="s">
        <v>28</v>
      </c>
      <c r="I302" s="1" t="s">
        <v>28</v>
      </c>
      <c r="J302">
        <v>18</v>
      </c>
      <c r="K302" s="1" t="s">
        <v>76</v>
      </c>
      <c r="L302" s="1" t="s">
        <v>28</v>
      </c>
      <c r="N302">
        <v>-1</v>
      </c>
      <c r="O302" s="1" t="s">
        <v>28</v>
      </c>
      <c r="P302" s="1" t="s">
        <v>77</v>
      </c>
      <c r="Q302" s="1" t="s">
        <v>31</v>
      </c>
      <c r="R302" s="1" t="s">
        <v>28</v>
      </c>
      <c r="S302" s="1" t="s">
        <v>28</v>
      </c>
      <c r="T302" s="1" t="s">
        <v>32</v>
      </c>
      <c r="U302" s="1" t="s">
        <v>32</v>
      </c>
      <c r="V302">
        <v>1940615</v>
      </c>
      <c r="W302" s="1" t="s">
        <v>64</v>
      </c>
      <c r="X302" s="1" t="s">
        <v>28</v>
      </c>
      <c r="AA302" s="1" t="s">
        <v>28</v>
      </c>
    </row>
    <row r="303" spans="1:27" x14ac:dyDescent="0.35">
      <c r="A303" t="str">
        <f>VLOOKUP(F303,'[1]Trans Pte X Contabilizar'!$A:$B,2,FALSE)</f>
        <v>ALMACENES</v>
      </c>
      <c r="C303" s="1" t="s">
        <v>78</v>
      </c>
      <c r="D303" s="11">
        <v>16663400</v>
      </c>
      <c r="E303" s="1" t="s">
        <v>61</v>
      </c>
      <c r="F303">
        <v>1280</v>
      </c>
      <c r="G303" s="2">
        <v>45980</v>
      </c>
      <c r="H303" s="1" t="s">
        <v>28</v>
      </c>
      <c r="I303" s="1" t="s">
        <v>28</v>
      </c>
      <c r="J303">
        <v>19</v>
      </c>
      <c r="K303" s="1" t="s">
        <v>76</v>
      </c>
      <c r="L303" s="1" t="s">
        <v>28</v>
      </c>
      <c r="N303">
        <v>1</v>
      </c>
      <c r="O303" s="1" t="s">
        <v>28</v>
      </c>
      <c r="P303" s="1" t="s">
        <v>77</v>
      </c>
      <c r="Q303" s="1" t="s">
        <v>31</v>
      </c>
      <c r="R303" s="1" t="s">
        <v>28</v>
      </c>
      <c r="S303" s="1" t="s">
        <v>28</v>
      </c>
      <c r="T303" s="1" t="s">
        <v>32</v>
      </c>
      <c r="U303" s="1" t="s">
        <v>32</v>
      </c>
      <c r="V303">
        <v>1940615</v>
      </c>
      <c r="W303" s="1" t="s">
        <v>64</v>
      </c>
      <c r="X303" s="1" t="s">
        <v>28</v>
      </c>
      <c r="AA303" s="1" t="s">
        <v>28</v>
      </c>
    </row>
    <row r="304" spans="1:27" x14ac:dyDescent="0.35">
      <c r="A304" t="str">
        <f>VLOOKUP(F304,'[1]Trans Pte X Contabilizar'!$A:$B,2,FALSE)</f>
        <v>ALMACENES</v>
      </c>
      <c r="C304" s="1" t="s">
        <v>78</v>
      </c>
      <c r="D304" s="11">
        <v>-16663400</v>
      </c>
      <c r="E304" s="1" t="s">
        <v>61</v>
      </c>
      <c r="F304">
        <v>1280</v>
      </c>
      <c r="G304" s="2">
        <v>45980</v>
      </c>
      <c r="H304" s="1" t="s">
        <v>28</v>
      </c>
      <c r="I304" s="1" t="s">
        <v>28</v>
      </c>
      <c r="J304">
        <v>20</v>
      </c>
      <c r="K304" s="1" t="s">
        <v>76</v>
      </c>
      <c r="L304" s="1" t="s">
        <v>28</v>
      </c>
      <c r="N304">
        <v>-1</v>
      </c>
      <c r="O304" s="1" t="s">
        <v>28</v>
      </c>
      <c r="P304" s="1" t="s">
        <v>77</v>
      </c>
      <c r="Q304" s="1" t="s">
        <v>31</v>
      </c>
      <c r="R304" s="1" t="s">
        <v>28</v>
      </c>
      <c r="S304" s="1" t="s">
        <v>28</v>
      </c>
      <c r="T304" s="1" t="s">
        <v>32</v>
      </c>
      <c r="U304" s="1" t="s">
        <v>32</v>
      </c>
      <c r="V304">
        <v>1940615</v>
      </c>
      <c r="W304" s="1" t="s">
        <v>64</v>
      </c>
      <c r="X304" s="1" t="s">
        <v>28</v>
      </c>
      <c r="AA304" s="1" t="s">
        <v>28</v>
      </c>
    </row>
    <row r="305" spans="1:27" x14ac:dyDescent="0.35">
      <c r="A305" t="str">
        <f>VLOOKUP(F305,'[1]Trans Pte X Contabilizar'!$A:$B,2,FALSE)</f>
        <v>ALMACENES</v>
      </c>
      <c r="C305" s="1" t="s">
        <v>78</v>
      </c>
      <c r="D305" s="11">
        <v>16663400</v>
      </c>
      <c r="E305" s="1" t="s">
        <v>61</v>
      </c>
      <c r="F305">
        <v>1280</v>
      </c>
      <c r="G305" s="2">
        <v>45980</v>
      </c>
      <c r="H305" s="1" t="s">
        <v>28</v>
      </c>
      <c r="I305" s="1" t="s">
        <v>28</v>
      </c>
      <c r="J305">
        <v>21</v>
      </c>
      <c r="K305" s="1" t="s">
        <v>76</v>
      </c>
      <c r="L305" s="1" t="s">
        <v>28</v>
      </c>
      <c r="N305">
        <v>1</v>
      </c>
      <c r="O305" s="1" t="s">
        <v>28</v>
      </c>
      <c r="P305" s="1" t="s">
        <v>77</v>
      </c>
      <c r="Q305" s="1" t="s">
        <v>31</v>
      </c>
      <c r="R305" s="1" t="s">
        <v>28</v>
      </c>
      <c r="S305" s="1" t="s">
        <v>28</v>
      </c>
      <c r="T305" s="1" t="s">
        <v>32</v>
      </c>
      <c r="U305" s="1" t="s">
        <v>32</v>
      </c>
      <c r="V305">
        <v>1940615</v>
      </c>
      <c r="W305" s="1" t="s">
        <v>64</v>
      </c>
      <c r="X305" s="1" t="s">
        <v>28</v>
      </c>
      <c r="AA305" s="1" t="s">
        <v>28</v>
      </c>
    </row>
    <row r="306" spans="1:27" x14ac:dyDescent="0.35">
      <c r="A306" t="str">
        <f>VLOOKUP(F306,'[1]Trans Pte X Contabilizar'!$A:$B,2,FALSE)</f>
        <v>ALMACENES</v>
      </c>
      <c r="C306" s="1" t="s">
        <v>78</v>
      </c>
      <c r="D306" s="11">
        <v>-16663400</v>
      </c>
      <c r="E306" s="1" t="s">
        <v>61</v>
      </c>
      <c r="F306">
        <v>1280</v>
      </c>
      <c r="G306" s="2">
        <v>45980</v>
      </c>
      <c r="H306" s="1" t="s">
        <v>28</v>
      </c>
      <c r="I306" s="1" t="s">
        <v>28</v>
      </c>
      <c r="J306">
        <v>22</v>
      </c>
      <c r="K306" s="1" t="s">
        <v>76</v>
      </c>
      <c r="L306" s="1" t="s">
        <v>28</v>
      </c>
      <c r="N306">
        <v>-1</v>
      </c>
      <c r="O306" s="1" t="s">
        <v>28</v>
      </c>
      <c r="P306" s="1" t="s">
        <v>77</v>
      </c>
      <c r="Q306" s="1" t="s">
        <v>31</v>
      </c>
      <c r="R306" s="1" t="s">
        <v>28</v>
      </c>
      <c r="S306" s="1" t="s">
        <v>28</v>
      </c>
      <c r="T306" s="1" t="s">
        <v>32</v>
      </c>
      <c r="U306" s="1" t="s">
        <v>32</v>
      </c>
      <c r="V306">
        <v>1940615</v>
      </c>
      <c r="W306" s="1" t="s">
        <v>64</v>
      </c>
      <c r="X306" s="1" t="s">
        <v>28</v>
      </c>
      <c r="AA306" s="1" t="s">
        <v>28</v>
      </c>
    </row>
    <row r="307" spans="1:27" x14ac:dyDescent="0.35">
      <c r="A307" t="str">
        <f>VLOOKUP(F307,'[1]Trans Pte X Contabilizar'!$A:$B,2,FALSE)</f>
        <v>ALMACENES</v>
      </c>
      <c r="C307" s="1" t="s">
        <v>78</v>
      </c>
      <c r="D307" s="11">
        <v>16663400</v>
      </c>
      <c r="E307" s="1" t="s">
        <v>61</v>
      </c>
      <c r="F307">
        <v>1280</v>
      </c>
      <c r="G307" s="2">
        <v>45980</v>
      </c>
      <c r="H307" s="1" t="s">
        <v>28</v>
      </c>
      <c r="I307" s="1" t="s">
        <v>28</v>
      </c>
      <c r="J307">
        <v>23</v>
      </c>
      <c r="K307" s="1" t="s">
        <v>76</v>
      </c>
      <c r="L307" s="1" t="s">
        <v>28</v>
      </c>
      <c r="N307">
        <v>1</v>
      </c>
      <c r="O307" s="1" t="s">
        <v>28</v>
      </c>
      <c r="P307" s="1" t="s">
        <v>77</v>
      </c>
      <c r="Q307" s="1" t="s">
        <v>31</v>
      </c>
      <c r="R307" s="1" t="s">
        <v>28</v>
      </c>
      <c r="S307" s="1" t="s">
        <v>28</v>
      </c>
      <c r="T307" s="1" t="s">
        <v>32</v>
      </c>
      <c r="U307" s="1" t="s">
        <v>32</v>
      </c>
      <c r="V307">
        <v>1940615</v>
      </c>
      <c r="W307" s="1" t="s">
        <v>64</v>
      </c>
      <c r="X307" s="1" t="s">
        <v>28</v>
      </c>
      <c r="AA307" s="1" t="s">
        <v>28</v>
      </c>
    </row>
    <row r="308" spans="1:27" x14ac:dyDescent="0.35">
      <c r="A308" t="str">
        <f>VLOOKUP(F308,'[1]Trans Pte X Contabilizar'!$A:$B,2,FALSE)</f>
        <v>ALMACENES</v>
      </c>
      <c r="C308" s="1" t="s">
        <v>78</v>
      </c>
      <c r="D308" s="11">
        <v>-16663400</v>
      </c>
      <c r="E308" s="1" t="s">
        <v>61</v>
      </c>
      <c r="F308">
        <v>1280</v>
      </c>
      <c r="G308" s="2">
        <v>45980</v>
      </c>
      <c r="H308" s="1" t="s">
        <v>28</v>
      </c>
      <c r="I308" s="1" t="s">
        <v>28</v>
      </c>
      <c r="J308">
        <v>24</v>
      </c>
      <c r="K308" s="1" t="s">
        <v>76</v>
      </c>
      <c r="L308" s="1" t="s">
        <v>28</v>
      </c>
      <c r="N308">
        <v>-1</v>
      </c>
      <c r="O308" s="1" t="s">
        <v>28</v>
      </c>
      <c r="P308" s="1" t="s">
        <v>77</v>
      </c>
      <c r="Q308" s="1" t="s">
        <v>31</v>
      </c>
      <c r="R308" s="1" t="s">
        <v>28</v>
      </c>
      <c r="S308" s="1" t="s">
        <v>28</v>
      </c>
      <c r="T308" s="1" t="s">
        <v>32</v>
      </c>
      <c r="U308" s="1" t="s">
        <v>32</v>
      </c>
      <c r="V308">
        <v>1940615</v>
      </c>
      <c r="W308" s="1" t="s">
        <v>64</v>
      </c>
      <c r="X308" s="1" t="s">
        <v>28</v>
      </c>
      <c r="AA308" s="1" t="s">
        <v>28</v>
      </c>
    </row>
    <row r="309" spans="1:27" x14ac:dyDescent="0.35">
      <c r="A309" t="str">
        <f>VLOOKUP(F309,'[1]Trans Pte X Contabilizar'!$A:$B,2,FALSE)</f>
        <v>ALMACENES</v>
      </c>
      <c r="C309" s="1" t="s">
        <v>75</v>
      </c>
      <c r="D309" s="11">
        <v>-16663400</v>
      </c>
      <c r="E309" s="1" t="s">
        <v>61</v>
      </c>
      <c r="F309">
        <v>1283</v>
      </c>
      <c r="G309" s="2">
        <v>45980</v>
      </c>
      <c r="H309" s="1" t="s">
        <v>28</v>
      </c>
      <c r="I309" s="1" t="s">
        <v>28</v>
      </c>
      <c r="J309">
        <v>1</v>
      </c>
      <c r="K309" s="1" t="s">
        <v>76</v>
      </c>
      <c r="L309" s="1" t="s">
        <v>28</v>
      </c>
      <c r="N309">
        <v>-1</v>
      </c>
      <c r="O309" s="1" t="s">
        <v>28</v>
      </c>
      <c r="P309" s="1" t="s">
        <v>79</v>
      </c>
      <c r="Q309" s="1" t="s">
        <v>31</v>
      </c>
      <c r="R309" s="1" t="s">
        <v>28</v>
      </c>
      <c r="S309" s="1" t="s">
        <v>28</v>
      </c>
      <c r="T309" s="1" t="s">
        <v>32</v>
      </c>
      <c r="U309" s="1" t="s">
        <v>32</v>
      </c>
      <c r="V309">
        <v>1940622</v>
      </c>
      <c r="W309" s="1" t="s">
        <v>64</v>
      </c>
      <c r="X309" s="1" t="s">
        <v>28</v>
      </c>
      <c r="AA309" s="1" t="s">
        <v>28</v>
      </c>
    </row>
    <row r="310" spans="1:27" x14ac:dyDescent="0.35">
      <c r="A310" t="str">
        <f>VLOOKUP(F310,'[1]Trans Pte X Contabilizar'!$A:$B,2,FALSE)</f>
        <v>ALMACENES</v>
      </c>
      <c r="C310" s="1" t="s">
        <v>75</v>
      </c>
      <c r="D310" s="11">
        <v>16663400</v>
      </c>
      <c r="E310" s="1" t="s">
        <v>61</v>
      </c>
      <c r="F310">
        <v>1283</v>
      </c>
      <c r="G310" s="2">
        <v>45980</v>
      </c>
      <c r="H310" s="1" t="s">
        <v>28</v>
      </c>
      <c r="I310" s="1" t="s">
        <v>28</v>
      </c>
      <c r="J310">
        <v>2</v>
      </c>
      <c r="K310" s="1" t="s">
        <v>76</v>
      </c>
      <c r="L310" s="1" t="s">
        <v>28</v>
      </c>
      <c r="N310">
        <v>1</v>
      </c>
      <c r="O310" s="1" t="s">
        <v>28</v>
      </c>
      <c r="P310" s="1" t="s">
        <v>79</v>
      </c>
      <c r="Q310" s="1" t="s">
        <v>31</v>
      </c>
      <c r="R310" s="1" t="s">
        <v>28</v>
      </c>
      <c r="S310" s="1" t="s">
        <v>28</v>
      </c>
      <c r="T310" s="1" t="s">
        <v>32</v>
      </c>
      <c r="U310" s="1" t="s">
        <v>32</v>
      </c>
      <c r="V310">
        <v>1940622</v>
      </c>
      <c r="W310" s="1" t="s">
        <v>64</v>
      </c>
      <c r="X310" s="1" t="s">
        <v>28</v>
      </c>
      <c r="AA310" s="1" t="s">
        <v>28</v>
      </c>
    </row>
    <row r="311" spans="1:27" x14ac:dyDescent="0.35">
      <c r="A311" t="str">
        <f>VLOOKUP(F311,'[1]Trans Pte X Contabilizar'!$A:$B,2,FALSE)</f>
        <v>ALMACENES</v>
      </c>
      <c r="C311" s="1" t="s">
        <v>75</v>
      </c>
      <c r="D311" s="11">
        <v>-16663400</v>
      </c>
      <c r="E311" s="1" t="s">
        <v>61</v>
      </c>
      <c r="F311">
        <v>1283</v>
      </c>
      <c r="G311" s="2">
        <v>45980</v>
      </c>
      <c r="H311" s="1" t="s">
        <v>28</v>
      </c>
      <c r="I311" s="1" t="s">
        <v>28</v>
      </c>
      <c r="J311">
        <v>3</v>
      </c>
      <c r="K311" s="1" t="s">
        <v>76</v>
      </c>
      <c r="L311" s="1" t="s">
        <v>28</v>
      </c>
      <c r="N311">
        <v>-1</v>
      </c>
      <c r="O311" s="1" t="s">
        <v>28</v>
      </c>
      <c r="P311" s="1" t="s">
        <v>79</v>
      </c>
      <c r="Q311" s="1" t="s">
        <v>31</v>
      </c>
      <c r="R311" s="1" t="s">
        <v>28</v>
      </c>
      <c r="S311" s="1" t="s">
        <v>28</v>
      </c>
      <c r="T311" s="1" t="s">
        <v>32</v>
      </c>
      <c r="U311" s="1" t="s">
        <v>32</v>
      </c>
      <c r="V311">
        <v>1940622</v>
      </c>
      <c r="W311" s="1" t="s">
        <v>64</v>
      </c>
      <c r="X311" s="1" t="s">
        <v>28</v>
      </c>
      <c r="AA311" s="1" t="s">
        <v>28</v>
      </c>
    </row>
    <row r="312" spans="1:27" x14ac:dyDescent="0.35">
      <c r="A312" t="str">
        <f>VLOOKUP(F312,'[1]Trans Pte X Contabilizar'!$A:$B,2,FALSE)</f>
        <v>ALMACENES</v>
      </c>
      <c r="C312" s="1" t="s">
        <v>75</v>
      </c>
      <c r="D312" s="11">
        <v>16663400</v>
      </c>
      <c r="E312" s="1" t="s">
        <v>61</v>
      </c>
      <c r="F312">
        <v>1283</v>
      </c>
      <c r="G312" s="2">
        <v>45980</v>
      </c>
      <c r="H312" s="1" t="s">
        <v>28</v>
      </c>
      <c r="I312" s="1" t="s">
        <v>28</v>
      </c>
      <c r="J312">
        <v>4</v>
      </c>
      <c r="K312" s="1" t="s">
        <v>76</v>
      </c>
      <c r="L312" s="1" t="s">
        <v>28</v>
      </c>
      <c r="N312">
        <v>1</v>
      </c>
      <c r="O312" s="1" t="s">
        <v>28</v>
      </c>
      <c r="P312" s="1" t="s">
        <v>79</v>
      </c>
      <c r="Q312" s="1" t="s">
        <v>31</v>
      </c>
      <c r="R312" s="1" t="s">
        <v>28</v>
      </c>
      <c r="S312" s="1" t="s">
        <v>28</v>
      </c>
      <c r="T312" s="1" t="s">
        <v>32</v>
      </c>
      <c r="U312" s="1" t="s">
        <v>32</v>
      </c>
      <c r="V312">
        <v>1940622</v>
      </c>
      <c r="W312" s="1" t="s">
        <v>64</v>
      </c>
      <c r="X312" s="1" t="s">
        <v>28</v>
      </c>
      <c r="AA312" s="1" t="s">
        <v>28</v>
      </c>
    </row>
    <row r="313" spans="1:27" x14ac:dyDescent="0.35">
      <c r="A313" t="str">
        <f>VLOOKUP(F313,'[1]Trans Pte X Contabilizar'!$A:$B,2,FALSE)</f>
        <v>ALMACENES</v>
      </c>
      <c r="C313" s="1" t="s">
        <v>75</v>
      </c>
      <c r="D313" s="11">
        <v>-16663400</v>
      </c>
      <c r="E313" s="1" t="s">
        <v>61</v>
      </c>
      <c r="F313">
        <v>1283</v>
      </c>
      <c r="G313" s="2">
        <v>45980</v>
      </c>
      <c r="H313" s="1" t="s">
        <v>28</v>
      </c>
      <c r="I313" s="1" t="s">
        <v>28</v>
      </c>
      <c r="J313">
        <v>5</v>
      </c>
      <c r="K313" s="1" t="s">
        <v>76</v>
      </c>
      <c r="L313" s="1" t="s">
        <v>28</v>
      </c>
      <c r="N313">
        <v>-1</v>
      </c>
      <c r="O313" s="1" t="s">
        <v>28</v>
      </c>
      <c r="P313" s="1" t="s">
        <v>79</v>
      </c>
      <c r="Q313" s="1" t="s">
        <v>31</v>
      </c>
      <c r="R313" s="1" t="s">
        <v>28</v>
      </c>
      <c r="S313" s="1" t="s">
        <v>28</v>
      </c>
      <c r="T313" s="1" t="s">
        <v>32</v>
      </c>
      <c r="U313" s="1" t="s">
        <v>32</v>
      </c>
      <c r="V313">
        <v>1940622</v>
      </c>
      <c r="W313" s="1" t="s">
        <v>64</v>
      </c>
      <c r="X313" s="1" t="s">
        <v>28</v>
      </c>
      <c r="AA313" s="1" t="s">
        <v>28</v>
      </c>
    </row>
    <row r="314" spans="1:27" x14ac:dyDescent="0.35">
      <c r="A314" t="str">
        <f>VLOOKUP(F314,'[1]Trans Pte X Contabilizar'!$A:$B,2,FALSE)</f>
        <v>ALMACENES</v>
      </c>
      <c r="C314" s="1" t="s">
        <v>75</v>
      </c>
      <c r="D314" s="11">
        <v>16663400</v>
      </c>
      <c r="E314" s="1" t="s">
        <v>61</v>
      </c>
      <c r="F314">
        <v>1283</v>
      </c>
      <c r="G314" s="2">
        <v>45980</v>
      </c>
      <c r="H314" s="1" t="s">
        <v>28</v>
      </c>
      <c r="I314" s="1" t="s">
        <v>28</v>
      </c>
      <c r="J314">
        <v>6</v>
      </c>
      <c r="K314" s="1" t="s">
        <v>76</v>
      </c>
      <c r="L314" s="1" t="s">
        <v>28</v>
      </c>
      <c r="N314">
        <v>1</v>
      </c>
      <c r="O314" s="1" t="s">
        <v>28</v>
      </c>
      <c r="P314" s="1" t="s">
        <v>79</v>
      </c>
      <c r="Q314" s="1" t="s">
        <v>31</v>
      </c>
      <c r="R314" s="1" t="s">
        <v>28</v>
      </c>
      <c r="S314" s="1" t="s">
        <v>28</v>
      </c>
      <c r="T314" s="1" t="s">
        <v>32</v>
      </c>
      <c r="U314" s="1" t="s">
        <v>32</v>
      </c>
      <c r="V314">
        <v>1940622</v>
      </c>
      <c r="W314" s="1" t="s">
        <v>64</v>
      </c>
      <c r="X314" s="1" t="s">
        <v>28</v>
      </c>
      <c r="AA314" s="1" t="s">
        <v>28</v>
      </c>
    </row>
    <row r="315" spans="1:27" x14ac:dyDescent="0.35">
      <c r="A315" t="str">
        <f>VLOOKUP(F315,'[1]Trans Pte X Contabilizar'!$A:$B,2,FALSE)</f>
        <v>ALMACENES</v>
      </c>
      <c r="C315" s="1" t="s">
        <v>78</v>
      </c>
      <c r="D315" s="11">
        <v>16663400</v>
      </c>
      <c r="E315" s="1" t="s">
        <v>61</v>
      </c>
      <c r="F315">
        <v>1283</v>
      </c>
      <c r="G315" s="2">
        <v>45980</v>
      </c>
      <c r="H315" s="1" t="s">
        <v>28</v>
      </c>
      <c r="I315" s="1" t="s">
        <v>28</v>
      </c>
      <c r="J315">
        <v>7</v>
      </c>
      <c r="K315" s="1" t="s">
        <v>76</v>
      </c>
      <c r="L315" s="1" t="s">
        <v>28</v>
      </c>
      <c r="N315">
        <v>1</v>
      </c>
      <c r="O315" s="1" t="s">
        <v>28</v>
      </c>
      <c r="P315" s="1" t="s">
        <v>79</v>
      </c>
      <c r="Q315" s="1" t="s">
        <v>31</v>
      </c>
      <c r="R315" s="1" t="s">
        <v>28</v>
      </c>
      <c r="S315" s="1" t="s">
        <v>28</v>
      </c>
      <c r="T315" s="1" t="s">
        <v>32</v>
      </c>
      <c r="U315" s="1" t="s">
        <v>32</v>
      </c>
      <c r="V315">
        <v>1940622</v>
      </c>
      <c r="W315" s="1" t="s">
        <v>64</v>
      </c>
      <c r="X315" s="1" t="s">
        <v>28</v>
      </c>
      <c r="AA315" s="1" t="s">
        <v>28</v>
      </c>
    </row>
    <row r="316" spans="1:27" x14ac:dyDescent="0.35">
      <c r="A316" t="str">
        <f>VLOOKUP(F316,'[1]Trans Pte X Contabilizar'!$A:$B,2,FALSE)</f>
        <v>ALMACENES</v>
      </c>
      <c r="C316" s="1" t="s">
        <v>78</v>
      </c>
      <c r="D316" s="11">
        <v>-16663400</v>
      </c>
      <c r="E316" s="1" t="s">
        <v>61</v>
      </c>
      <c r="F316">
        <v>1283</v>
      </c>
      <c r="G316" s="2">
        <v>45980</v>
      </c>
      <c r="H316" s="1" t="s">
        <v>28</v>
      </c>
      <c r="I316" s="1" t="s">
        <v>28</v>
      </c>
      <c r="J316">
        <v>8</v>
      </c>
      <c r="K316" s="1" t="s">
        <v>76</v>
      </c>
      <c r="L316" s="1" t="s">
        <v>28</v>
      </c>
      <c r="N316">
        <v>-1</v>
      </c>
      <c r="O316" s="1" t="s">
        <v>28</v>
      </c>
      <c r="P316" s="1" t="s">
        <v>79</v>
      </c>
      <c r="Q316" s="1" t="s">
        <v>31</v>
      </c>
      <c r="R316" s="1" t="s">
        <v>28</v>
      </c>
      <c r="S316" s="1" t="s">
        <v>28</v>
      </c>
      <c r="T316" s="1" t="s">
        <v>32</v>
      </c>
      <c r="U316" s="1" t="s">
        <v>32</v>
      </c>
      <c r="V316">
        <v>1940622</v>
      </c>
      <c r="W316" s="1" t="s">
        <v>64</v>
      </c>
      <c r="X316" s="1" t="s">
        <v>28</v>
      </c>
      <c r="AA316" s="1" t="s">
        <v>28</v>
      </c>
    </row>
    <row r="317" spans="1:27" x14ac:dyDescent="0.35">
      <c r="A317" t="str">
        <f>VLOOKUP(F317,'[1]Trans Pte X Contabilizar'!$A:$B,2,FALSE)</f>
        <v>ALMACENES</v>
      </c>
      <c r="C317" s="1" t="s">
        <v>78</v>
      </c>
      <c r="D317" s="11">
        <v>16663400</v>
      </c>
      <c r="E317" s="1" t="s">
        <v>61</v>
      </c>
      <c r="F317">
        <v>1283</v>
      </c>
      <c r="G317" s="2">
        <v>45980</v>
      </c>
      <c r="H317" s="1" t="s">
        <v>28</v>
      </c>
      <c r="I317" s="1" t="s">
        <v>28</v>
      </c>
      <c r="J317">
        <v>9</v>
      </c>
      <c r="K317" s="1" t="s">
        <v>76</v>
      </c>
      <c r="L317" s="1" t="s">
        <v>28</v>
      </c>
      <c r="N317">
        <v>1</v>
      </c>
      <c r="O317" s="1" t="s">
        <v>28</v>
      </c>
      <c r="P317" s="1" t="s">
        <v>79</v>
      </c>
      <c r="Q317" s="1" t="s">
        <v>31</v>
      </c>
      <c r="R317" s="1" t="s">
        <v>28</v>
      </c>
      <c r="S317" s="1" t="s">
        <v>28</v>
      </c>
      <c r="T317" s="1" t="s">
        <v>32</v>
      </c>
      <c r="U317" s="1" t="s">
        <v>32</v>
      </c>
      <c r="V317">
        <v>1940622</v>
      </c>
      <c r="W317" s="1" t="s">
        <v>64</v>
      </c>
      <c r="X317" s="1" t="s">
        <v>28</v>
      </c>
      <c r="AA317" s="1" t="s">
        <v>28</v>
      </c>
    </row>
    <row r="318" spans="1:27" x14ac:dyDescent="0.35">
      <c r="A318" t="str">
        <f>VLOOKUP(F318,'[1]Trans Pte X Contabilizar'!$A:$B,2,FALSE)</f>
        <v>ALMACENES</v>
      </c>
      <c r="C318" s="1" t="s">
        <v>78</v>
      </c>
      <c r="D318" s="11">
        <v>-16663400</v>
      </c>
      <c r="E318" s="1" t="s">
        <v>61</v>
      </c>
      <c r="F318">
        <v>1283</v>
      </c>
      <c r="G318" s="2">
        <v>45980</v>
      </c>
      <c r="H318" s="1" t="s">
        <v>28</v>
      </c>
      <c r="I318" s="1" t="s">
        <v>28</v>
      </c>
      <c r="J318">
        <v>10</v>
      </c>
      <c r="K318" s="1" t="s">
        <v>76</v>
      </c>
      <c r="L318" s="1" t="s">
        <v>28</v>
      </c>
      <c r="N318">
        <v>-1</v>
      </c>
      <c r="O318" s="1" t="s">
        <v>28</v>
      </c>
      <c r="P318" s="1" t="s">
        <v>79</v>
      </c>
      <c r="Q318" s="1" t="s">
        <v>31</v>
      </c>
      <c r="R318" s="1" t="s">
        <v>28</v>
      </c>
      <c r="S318" s="1" t="s">
        <v>28</v>
      </c>
      <c r="T318" s="1" t="s">
        <v>32</v>
      </c>
      <c r="U318" s="1" t="s">
        <v>32</v>
      </c>
      <c r="V318">
        <v>1940622</v>
      </c>
      <c r="W318" s="1" t="s">
        <v>64</v>
      </c>
      <c r="X318" s="1" t="s">
        <v>28</v>
      </c>
      <c r="AA318" s="1" t="s">
        <v>28</v>
      </c>
    </row>
    <row r="319" spans="1:27" x14ac:dyDescent="0.35">
      <c r="A319" t="str">
        <f>VLOOKUP(F319,'[1]Trans Pte X Contabilizar'!$A:$B,2,FALSE)</f>
        <v>ALMACENES</v>
      </c>
      <c r="C319" s="1" t="s">
        <v>78</v>
      </c>
      <c r="D319" s="11">
        <v>16663400</v>
      </c>
      <c r="E319" s="1" t="s">
        <v>61</v>
      </c>
      <c r="F319">
        <v>1283</v>
      </c>
      <c r="G319" s="2">
        <v>45980</v>
      </c>
      <c r="H319" s="1" t="s">
        <v>28</v>
      </c>
      <c r="I319" s="1" t="s">
        <v>28</v>
      </c>
      <c r="J319">
        <v>11</v>
      </c>
      <c r="K319" s="1" t="s">
        <v>76</v>
      </c>
      <c r="L319" s="1" t="s">
        <v>28</v>
      </c>
      <c r="N319">
        <v>1</v>
      </c>
      <c r="O319" s="1" t="s">
        <v>28</v>
      </c>
      <c r="P319" s="1" t="s">
        <v>79</v>
      </c>
      <c r="Q319" s="1" t="s">
        <v>31</v>
      </c>
      <c r="R319" s="1" t="s">
        <v>28</v>
      </c>
      <c r="S319" s="1" t="s">
        <v>28</v>
      </c>
      <c r="T319" s="1" t="s">
        <v>32</v>
      </c>
      <c r="U319" s="1" t="s">
        <v>32</v>
      </c>
      <c r="V319">
        <v>1940622</v>
      </c>
      <c r="W319" s="1" t="s">
        <v>64</v>
      </c>
      <c r="X319" s="1" t="s">
        <v>28</v>
      </c>
      <c r="AA319" s="1" t="s">
        <v>28</v>
      </c>
    </row>
    <row r="320" spans="1:27" x14ac:dyDescent="0.35">
      <c r="A320" t="str">
        <f>VLOOKUP(F320,'[1]Trans Pte X Contabilizar'!$A:$B,2,FALSE)</f>
        <v>ALMACENES</v>
      </c>
      <c r="C320" s="1" t="s">
        <v>78</v>
      </c>
      <c r="D320" s="11">
        <v>-16663400</v>
      </c>
      <c r="E320" s="1" t="s">
        <v>61</v>
      </c>
      <c r="F320">
        <v>1283</v>
      </c>
      <c r="G320" s="2">
        <v>45980</v>
      </c>
      <c r="H320" s="1" t="s">
        <v>28</v>
      </c>
      <c r="I320" s="1" t="s">
        <v>28</v>
      </c>
      <c r="J320">
        <v>12</v>
      </c>
      <c r="K320" s="1" t="s">
        <v>76</v>
      </c>
      <c r="L320" s="1" t="s">
        <v>28</v>
      </c>
      <c r="N320">
        <v>-1</v>
      </c>
      <c r="O320" s="1" t="s">
        <v>28</v>
      </c>
      <c r="P320" s="1" t="s">
        <v>79</v>
      </c>
      <c r="Q320" s="1" t="s">
        <v>31</v>
      </c>
      <c r="R320" s="1" t="s">
        <v>28</v>
      </c>
      <c r="S320" s="1" t="s">
        <v>28</v>
      </c>
      <c r="T320" s="1" t="s">
        <v>32</v>
      </c>
      <c r="U320" s="1" t="s">
        <v>32</v>
      </c>
      <c r="V320">
        <v>1940622</v>
      </c>
      <c r="W320" s="1" t="s">
        <v>64</v>
      </c>
      <c r="X320" s="1" t="s">
        <v>28</v>
      </c>
      <c r="AA320" s="1" t="s">
        <v>28</v>
      </c>
    </row>
    <row r="321" spans="1:27" x14ac:dyDescent="0.35">
      <c r="A321" t="str">
        <f>VLOOKUP(F321,'[1]Trans Pte X Contabilizar'!$A:$B,2,FALSE)</f>
        <v>ALMACENES</v>
      </c>
      <c r="C321" s="1" t="s">
        <v>80</v>
      </c>
      <c r="D321" s="11">
        <v>-370558.2</v>
      </c>
      <c r="E321" s="1" t="s">
        <v>61</v>
      </c>
      <c r="F321">
        <v>1284</v>
      </c>
      <c r="G321" s="2">
        <v>45980</v>
      </c>
      <c r="H321" s="1" t="s">
        <v>28</v>
      </c>
      <c r="I321" s="1" t="s">
        <v>28</v>
      </c>
      <c r="J321">
        <v>1</v>
      </c>
      <c r="K321" s="1" t="s">
        <v>76</v>
      </c>
      <c r="L321" s="1" t="s">
        <v>28</v>
      </c>
      <c r="N321">
        <v>-2</v>
      </c>
      <c r="O321" s="1" t="s">
        <v>28</v>
      </c>
      <c r="P321" s="1" t="s">
        <v>63</v>
      </c>
      <c r="Q321" s="1" t="s">
        <v>31</v>
      </c>
      <c r="R321" s="1" t="s">
        <v>28</v>
      </c>
      <c r="S321" s="1" t="s">
        <v>28</v>
      </c>
      <c r="T321" s="1" t="s">
        <v>32</v>
      </c>
      <c r="U321" s="1" t="s">
        <v>32</v>
      </c>
      <c r="V321">
        <v>1940624</v>
      </c>
      <c r="W321" s="1" t="s">
        <v>64</v>
      </c>
      <c r="X321" s="1" t="s">
        <v>28</v>
      </c>
      <c r="AA321" s="1" t="s">
        <v>28</v>
      </c>
    </row>
    <row r="322" spans="1:27" x14ac:dyDescent="0.35">
      <c r="A322" t="str">
        <f>VLOOKUP(F322,'[1]Trans Pte X Contabilizar'!$A:$B,2,FALSE)</f>
        <v>ALMACENES</v>
      </c>
      <c r="C322" s="1" t="s">
        <v>80</v>
      </c>
      <c r="D322" s="11">
        <v>370558.2</v>
      </c>
      <c r="E322" s="1" t="s">
        <v>61</v>
      </c>
      <c r="F322">
        <v>1284</v>
      </c>
      <c r="G322" s="2">
        <v>45980</v>
      </c>
      <c r="H322" s="1" t="s">
        <v>28</v>
      </c>
      <c r="I322" s="1" t="s">
        <v>28</v>
      </c>
      <c r="J322">
        <v>2</v>
      </c>
      <c r="K322" s="1" t="s">
        <v>76</v>
      </c>
      <c r="L322" s="1" t="s">
        <v>28</v>
      </c>
      <c r="N322">
        <v>2</v>
      </c>
      <c r="O322" s="1" t="s">
        <v>28</v>
      </c>
      <c r="P322" s="1" t="s">
        <v>63</v>
      </c>
      <c r="Q322" s="1" t="s">
        <v>31</v>
      </c>
      <c r="R322" s="1" t="s">
        <v>28</v>
      </c>
      <c r="S322" s="1" t="s">
        <v>28</v>
      </c>
      <c r="T322" s="1" t="s">
        <v>32</v>
      </c>
      <c r="U322" s="1" t="s">
        <v>32</v>
      </c>
      <c r="V322">
        <v>1940624</v>
      </c>
      <c r="W322" s="1" t="s">
        <v>64</v>
      </c>
      <c r="X322" s="1" t="s">
        <v>28</v>
      </c>
      <c r="AA322" s="1" t="s">
        <v>28</v>
      </c>
    </row>
    <row r="323" spans="1:27" x14ac:dyDescent="0.35">
      <c r="A323" t="str">
        <f>VLOOKUP(F323,'[1]Trans Pte X Contabilizar'!$A:$B,2,FALSE)</f>
        <v>ALMACENES</v>
      </c>
      <c r="C323" s="1" t="s">
        <v>81</v>
      </c>
      <c r="D323" s="11">
        <v>370558.2</v>
      </c>
      <c r="E323" s="1" t="s">
        <v>61</v>
      </c>
      <c r="F323">
        <v>1284</v>
      </c>
      <c r="G323" s="2">
        <v>45980</v>
      </c>
      <c r="H323" s="1" t="s">
        <v>28</v>
      </c>
      <c r="I323" s="1" t="s">
        <v>28</v>
      </c>
      <c r="J323">
        <v>3</v>
      </c>
      <c r="K323" s="1" t="s">
        <v>76</v>
      </c>
      <c r="L323" s="1" t="s">
        <v>28</v>
      </c>
      <c r="N323">
        <v>2</v>
      </c>
      <c r="O323" s="1" t="s">
        <v>28</v>
      </c>
      <c r="P323" s="1" t="s">
        <v>63</v>
      </c>
      <c r="Q323" s="1" t="s">
        <v>31</v>
      </c>
      <c r="R323" s="1" t="s">
        <v>28</v>
      </c>
      <c r="S323" s="1" t="s">
        <v>28</v>
      </c>
      <c r="T323" s="1" t="s">
        <v>32</v>
      </c>
      <c r="U323" s="1" t="s">
        <v>32</v>
      </c>
      <c r="V323">
        <v>1940624</v>
      </c>
      <c r="W323" s="1" t="s">
        <v>64</v>
      </c>
      <c r="X323" s="1" t="s">
        <v>28</v>
      </c>
      <c r="AA323" s="1" t="s">
        <v>28</v>
      </c>
    </row>
    <row r="324" spans="1:27" x14ac:dyDescent="0.35">
      <c r="A324" t="str">
        <f>VLOOKUP(F324,'[1]Trans Pte X Contabilizar'!$A:$B,2,FALSE)</f>
        <v>ALMACENES</v>
      </c>
      <c r="C324" s="1" t="s">
        <v>81</v>
      </c>
      <c r="D324" s="11">
        <v>-370558.2</v>
      </c>
      <c r="E324" s="1" t="s">
        <v>61</v>
      </c>
      <c r="F324">
        <v>1284</v>
      </c>
      <c r="G324" s="2">
        <v>45980</v>
      </c>
      <c r="H324" s="1" t="s">
        <v>28</v>
      </c>
      <c r="I324" s="1" t="s">
        <v>28</v>
      </c>
      <c r="J324">
        <v>4</v>
      </c>
      <c r="K324" s="1" t="s">
        <v>76</v>
      </c>
      <c r="L324" s="1" t="s">
        <v>28</v>
      </c>
      <c r="N324">
        <v>-2</v>
      </c>
      <c r="O324" s="1" t="s">
        <v>28</v>
      </c>
      <c r="P324" s="1" t="s">
        <v>63</v>
      </c>
      <c r="Q324" s="1" t="s">
        <v>31</v>
      </c>
      <c r="R324" s="1" t="s">
        <v>28</v>
      </c>
      <c r="S324" s="1" t="s">
        <v>28</v>
      </c>
      <c r="T324" s="1" t="s">
        <v>32</v>
      </c>
      <c r="U324" s="1" t="s">
        <v>32</v>
      </c>
      <c r="V324">
        <v>1940624</v>
      </c>
      <c r="W324" s="1" t="s">
        <v>64</v>
      </c>
      <c r="X324" s="1" t="s">
        <v>28</v>
      </c>
      <c r="AA324" s="1" t="s">
        <v>28</v>
      </c>
    </row>
    <row r="325" spans="1:27" x14ac:dyDescent="0.35">
      <c r="A325" t="s">
        <v>165</v>
      </c>
      <c r="B325">
        <v>438071</v>
      </c>
      <c r="C325" s="1" t="s">
        <v>82</v>
      </c>
      <c r="D325" s="11">
        <v>229259</v>
      </c>
      <c r="E325" s="1" t="s">
        <v>83</v>
      </c>
      <c r="F325">
        <v>204919</v>
      </c>
      <c r="G325" s="2">
        <v>45989</v>
      </c>
      <c r="H325" s="1" t="s">
        <v>28</v>
      </c>
      <c r="I325" s="1" t="s">
        <v>28</v>
      </c>
      <c r="J325">
        <v>1</v>
      </c>
      <c r="K325" s="1" t="s">
        <v>84</v>
      </c>
      <c r="L325" s="1" t="s">
        <v>28</v>
      </c>
      <c r="N325">
        <v>1</v>
      </c>
      <c r="O325" s="1" t="s">
        <v>28</v>
      </c>
      <c r="P325" s="1" t="s">
        <v>85</v>
      </c>
      <c r="Q325" s="1" t="s">
        <v>31</v>
      </c>
      <c r="R325" s="1" t="s">
        <v>28</v>
      </c>
      <c r="S325" s="1" t="s">
        <v>28</v>
      </c>
      <c r="T325" s="1" t="s">
        <v>32</v>
      </c>
      <c r="U325" s="1" t="s">
        <v>32</v>
      </c>
      <c r="V325">
        <v>1944427</v>
      </c>
      <c r="W325" s="1" t="s">
        <v>86</v>
      </c>
      <c r="X325" s="1" t="s">
        <v>28</v>
      </c>
      <c r="Y325" s="1" t="s">
        <v>28</v>
      </c>
      <c r="Z325" s="1" t="s">
        <v>28</v>
      </c>
      <c r="AA325" s="1" t="s">
        <v>87</v>
      </c>
    </row>
    <row r="326" spans="1:27" x14ac:dyDescent="0.35">
      <c r="A326" t="s">
        <v>165</v>
      </c>
      <c r="B326">
        <v>438071</v>
      </c>
      <c r="C326" s="1" t="s">
        <v>82</v>
      </c>
      <c r="D326" s="11">
        <v>229259</v>
      </c>
      <c r="E326" s="1" t="s">
        <v>83</v>
      </c>
      <c r="F326">
        <v>204920</v>
      </c>
      <c r="G326" s="2">
        <v>45989</v>
      </c>
      <c r="H326" s="1" t="s">
        <v>28</v>
      </c>
      <c r="I326" s="1" t="s">
        <v>28</v>
      </c>
      <c r="J326">
        <v>1</v>
      </c>
      <c r="K326" s="1" t="s">
        <v>88</v>
      </c>
      <c r="L326" s="1" t="s">
        <v>28</v>
      </c>
      <c r="N326">
        <v>1</v>
      </c>
      <c r="O326" s="1" t="s">
        <v>28</v>
      </c>
      <c r="P326" s="1" t="s">
        <v>85</v>
      </c>
      <c r="Q326" s="1" t="s">
        <v>31</v>
      </c>
      <c r="R326" s="1" t="s">
        <v>28</v>
      </c>
      <c r="S326" s="1" t="s">
        <v>28</v>
      </c>
      <c r="T326" s="1" t="s">
        <v>32</v>
      </c>
      <c r="U326" s="1" t="s">
        <v>32</v>
      </c>
      <c r="V326">
        <v>1944430</v>
      </c>
      <c r="W326" s="1" t="s">
        <v>86</v>
      </c>
      <c r="X326" s="1" t="s">
        <v>28</v>
      </c>
      <c r="Y326" s="1" t="s">
        <v>28</v>
      </c>
      <c r="Z326" s="1" t="s">
        <v>28</v>
      </c>
      <c r="AA326" s="1" t="s">
        <v>89</v>
      </c>
    </row>
    <row r="327" spans="1:27" x14ac:dyDescent="0.35">
      <c r="A327" t="str">
        <f>VLOOKUP(F327,'[1]Trans Pte X Contabilizar'!$A:$B,2,FALSE)</f>
        <v>COMERCIAL</v>
      </c>
      <c r="B327">
        <v>467996</v>
      </c>
      <c r="C327" s="1" t="s">
        <v>90</v>
      </c>
      <c r="D327" s="11">
        <v>-86943954</v>
      </c>
      <c r="E327" s="1" t="s">
        <v>91</v>
      </c>
      <c r="F327">
        <v>203175</v>
      </c>
      <c r="G327" s="2">
        <v>45971</v>
      </c>
      <c r="H327" s="1" t="s">
        <v>28</v>
      </c>
      <c r="I327" s="1" t="s">
        <v>28</v>
      </c>
      <c r="J327">
        <v>1</v>
      </c>
      <c r="K327" s="1" t="s">
        <v>92</v>
      </c>
      <c r="L327" s="1" t="s">
        <v>28</v>
      </c>
      <c r="N327">
        <v>-86943954</v>
      </c>
      <c r="O327" s="1" t="s">
        <v>28</v>
      </c>
      <c r="P327" s="1" t="s">
        <v>34</v>
      </c>
      <c r="Q327" s="1" t="s">
        <v>31</v>
      </c>
      <c r="R327" s="1" t="s">
        <v>28</v>
      </c>
      <c r="S327" s="1" t="s">
        <v>28</v>
      </c>
      <c r="T327" s="1" t="s">
        <v>32</v>
      </c>
      <c r="U327" s="1" t="s">
        <v>32</v>
      </c>
      <c r="V327">
        <v>1937530</v>
      </c>
      <c r="W327" s="1" t="s">
        <v>86</v>
      </c>
      <c r="X327" s="1" t="s">
        <v>28</v>
      </c>
      <c r="Y327" s="1" t="s">
        <v>28</v>
      </c>
      <c r="Z327" s="1" t="s">
        <v>28</v>
      </c>
      <c r="AA327" s="1" t="s">
        <v>93</v>
      </c>
    </row>
    <row r="328" spans="1:27" x14ac:dyDescent="0.35">
      <c r="A328" t="str">
        <f>VLOOKUP(F328,'[1]Trans Pte X Contabilizar'!$A:$B,2,FALSE)</f>
        <v>COMERCIAL</v>
      </c>
      <c r="B328">
        <v>467996</v>
      </c>
      <c r="C328" s="1" t="s">
        <v>90</v>
      </c>
      <c r="D328" s="11">
        <v>86943954</v>
      </c>
      <c r="E328" s="1" t="s">
        <v>91</v>
      </c>
      <c r="F328">
        <v>203178</v>
      </c>
      <c r="G328" s="2">
        <v>45971</v>
      </c>
      <c r="H328" s="1" t="s">
        <v>28</v>
      </c>
      <c r="I328" s="1" t="s">
        <v>28</v>
      </c>
      <c r="J328">
        <v>1</v>
      </c>
      <c r="K328" s="1" t="s">
        <v>92</v>
      </c>
      <c r="L328" s="1" t="s">
        <v>28</v>
      </c>
      <c r="N328">
        <v>86943954</v>
      </c>
      <c r="O328" s="1" t="s">
        <v>28</v>
      </c>
      <c r="P328" s="1" t="s">
        <v>34</v>
      </c>
      <c r="Q328" s="1" t="s">
        <v>31</v>
      </c>
      <c r="R328" s="1" t="s">
        <v>28</v>
      </c>
      <c r="S328" s="1" t="s">
        <v>28</v>
      </c>
      <c r="T328" s="1" t="s">
        <v>32</v>
      </c>
      <c r="U328" s="1" t="s">
        <v>32</v>
      </c>
      <c r="V328">
        <v>1937549</v>
      </c>
      <c r="W328" s="1" t="s">
        <v>86</v>
      </c>
      <c r="X328" s="1" t="s">
        <v>28</v>
      </c>
      <c r="Y328" s="1" t="s">
        <v>28</v>
      </c>
      <c r="Z328" s="1" t="s">
        <v>28</v>
      </c>
      <c r="AA328" s="1" t="s">
        <v>94</v>
      </c>
    </row>
    <row r="329" spans="1:27" x14ac:dyDescent="0.35">
      <c r="A329" t="str">
        <f>VLOOKUP(F329,'[1]Trans Pte X Contabilizar'!$A:$B,2,FALSE)</f>
        <v>USSA - GEOVANNY PALACIOS</v>
      </c>
      <c r="B329">
        <v>28442</v>
      </c>
      <c r="C329" s="1" t="s">
        <v>95</v>
      </c>
      <c r="D329" s="11">
        <v>6970797</v>
      </c>
      <c r="E329" s="1" t="s">
        <v>91</v>
      </c>
      <c r="F329">
        <v>203257</v>
      </c>
      <c r="G329" s="2">
        <v>45972</v>
      </c>
      <c r="H329" s="1" t="s">
        <v>28</v>
      </c>
      <c r="I329" s="1" t="s">
        <v>28</v>
      </c>
      <c r="J329">
        <v>7</v>
      </c>
      <c r="K329" s="1" t="s">
        <v>96</v>
      </c>
      <c r="L329" s="1" t="s">
        <v>28</v>
      </c>
      <c r="N329">
        <v>6970797</v>
      </c>
      <c r="O329" s="1" t="s">
        <v>28</v>
      </c>
      <c r="P329" s="1" t="s">
        <v>97</v>
      </c>
      <c r="Q329" s="1" t="s">
        <v>31</v>
      </c>
      <c r="R329" s="1" t="s">
        <v>28</v>
      </c>
      <c r="S329" s="1" t="s">
        <v>28</v>
      </c>
      <c r="T329" s="1" t="s">
        <v>32</v>
      </c>
      <c r="U329" s="1" t="s">
        <v>32</v>
      </c>
      <c r="V329">
        <v>1938465</v>
      </c>
      <c r="W329" s="1" t="s">
        <v>86</v>
      </c>
      <c r="X329" s="1" t="s">
        <v>28</v>
      </c>
      <c r="Y329" s="1" t="s">
        <v>98</v>
      </c>
      <c r="Z329" s="1" t="s">
        <v>99</v>
      </c>
      <c r="AA329" s="1" t="s">
        <v>100</v>
      </c>
    </row>
    <row r="330" spans="1:27" x14ac:dyDescent="0.35">
      <c r="A330" t="str">
        <f>VLOOKUP(F330,'[1]Trans Pte X Contabilizar'!$A:$B,2,FALSE)</f>
        <v>USSA - GEOVANNY PALACIOS</v>
      </c>
      <c r="B330">
        <v>349572</v>
      </c>
      <c r="C330" s="1" t="s">
        <v>95</v>
      </c>
      <c r="D330" s="11">
        <v>3582163</v>
      </c>
      <c r="E330" s="1" t="s">
        <v>91</v>
      </c>
      <c r="F330">
        <v>203257</v>
      </c>
      <c r="G330" s="2">
        <v>45972</v>
      </c>
      <c r="H330" s="1" t="s">
        <v>28</v>
      </c>
      <c r="I330" s="1" t="s">
        <v>28</v>
      </c>
      <c r="J330">
        <v>9</v>
      </c>
      <c r="K330" s="1" t="s">
        <v>96</v>
      </c>
      <c r="L330" s="1" t="s">
        <v>28</v>
      </c>
      <c r="N330">
        <v>3582163</v>
      </c>
      <c r="O330" s="1" t="s">
        <v>28</v>
      </c>
      <c r="P330" s="1" t="s">
        <v>97</v>
      </c>
      <c r="Q330" s="1" t="s">
        <v>31</v>
      </c>
      <c r="R330" s="1" t="s">
        <v>28</v>
      </c>
      <c r="S330" s="1" t="s">
        <v>28</v>
      </c>
      <c r="T330" s="1" t="s">
        <v>32</v>
      </c>
      <c r="U330" s="1" t="s">
        <v>32</v>
      </c>
      <c r="V330">
        <v>1938465</v>
      </c>
      <c r="W330" s="1" t="s">
        <v>86</v>
      </c>
      <c r="X330" s="1" t="s">
        <v>28</v>
      </c>
      <c r="Y330" s="1" t="s">
        <v>28</v>
      </c>
      <c r="Z330" s="1" t="s">
        <v>28</v>
      </c>
      <c r="AA330" s="1" t="s">
        <v>100</v>
      </c>
    </row>
    <row r="331" spans="1:27" x14ac:dyDescent="0.35">
      <c r="A331" t="str">
        <f>VLOOKUP(F331,'[1]Trans Pte X Contabilizar'!$A:$B,2,FALSE)</f>
        <v>USSA - GEOVANNY PALACIOS</v>
      </c>
      <c r="B331">
        <v>332195</v>
      </c>
      <c r="C331" s="1" t="s">
        <v>95</v>
      </c>
      <c r="D331" s="11">
        <v>36179508</v>
      </c>
      <c r="E331" s="1" t="s">
        <v>91</v>
      </c>
      <c r="F331">
        <v>203257</v>
      </c>
      <c r="G331" s="2">
        <v>45972</v>
      </c>
      <c r="H331" s="1" t="s">
        <v>28</v>
      </c>
      <c r="I331" s="1" t="s">
        <v>28</v>
      </c>
      <c r="J331">
        <v>11</v>
      </c>
      <c r="K331" s="1" t="s">
        <v>96</v>
      </c>
      <c r="L331" s="1" t="s">
        <v>28</v>
      </c>
      <c r="N331">
        <v>36179508</v>
      </c>
      <c r="O331" s="1" t="s">
        <v>28</v>
      </c>
      <c r="P331" s="1" t="s">
        <v>97</v>
      </c>
      <c r="Q331" s="1" t="s">
        <v>31</v>
      </c>
      <c r="R331" s="1" t="s">
        <v>28</v>
      </c>
      <c r="S331" s="1" t="s">
        <v>28</v>
      </c>
      <c r="T331" s="1" t="s">
        <v>32</v>
      </c>
      <c r="U331" s="1" t="s">
        <v>32</v>
      </c>
      <c r="V331">
        <v>1938465</v>
      </c>
      <c r="W331" s="1" t="s">
        <v>86</v>
      </c>
      <c r="X331" s="1" t="s">
        <v>28</v>
      </c>
      <c r="Y331" s="1" t="s">
        <v>28</v>
      </c>
      <c r="Z331" s="1" t="s">
        <v>28</v>
      </c>
      <c r="AA331" s="1" t="s">
        <v>100</v>
      </c>
    </row>
    <row r="332" spans="1:27" x14ac:dyDescent="0.35">
      <c r="A332" t="str">
        <f>VLOOKUP(F332,'[1]Trans Pte X Contabilizar'!$A:$B,2,FALSE)</f>
        <v>USSA - FRANCISCO CONTRERAS</v>
      </c>
      <c r="C332" s="1" t="s">
        <v>95</v>
      </c>
      <c r="D332" s="11">
        <v>464000</v>
      </c>
      <c r="E332" s="1" t="s">
        <v>91</v>
      </c>
      <c r="F332">
        <v>203985</v>
      </c>
      <c r="G332" s="2">
        <v>45974</v>
      </c>
      <c r="H332" s="1" t="s">
        <v>28</v>
      </c>
      <c r="I332" s="1" t="s">
        <v>28</v>
      </c>
      <c r="J332">
        <v>5</v>
      </c>
      <c r="K332" s="1" t="s">
        <v>96</v>
      </c>
      <c r="L332" s="1" t="s">
        <v>28</v>
      </c>
      <c r="N332">
        <v>464000</v>
      </c>
      <c r="O332" s="1" t="s">
        <v>28</v>
      </c>
      <c r="P332" s="1" t="s">
        <v>97</v>
      </c>
      <c r="Q332" s="1" t="s">
        <v>31</v>
      </c>
      <c r="R332" s="1" t="s">
        <v>28</v>
      </c>
      <c r="S332" s="1" t="s">
        <v>28</v>
      </c>
      <c r="T332" s="1" t="s">
        <v>32</v>
      </c>
      <c r="U332" s="1" t="s">
        <v>32</v>
      </c>
      <c r="V332">
        <v>1939313</v>
      </c>
      <c r="W332" s="1" t="s">
        <v>86</v>
      </c>
      <c r="X332" s="1" t="s">
        <v>28</v>
      </c>
      <c r="AA332" s="1" t="s">
        <v>101</v>
      </c>
    </row>
    <row r="333" spans="1:27" x14ac:dyDescent="0.35">
      <c r="A333" t="str">
        <f>VLOOKUP(F333,'[1]Trans Pte X Contabilizar'!$A:$B,2,FALSE)</f>
        <v>USSA - FRANCISCO CONTRERAS</v>
      </c>
      <c r="C333" s="1" t="s">
        <v>95</v>
      </c>
      <c r="D333" s="11">
        <v>31937000</v>
      </c>
      <c r="E333" s="1" t="s">
        <v>91</v>
      </c>
      <c r="F333">
        <v>203985</v>
      </c>
      <c r="G333" s="2">
        <v>45974</v>
      </c>
      <c r="H333" s="1" t="s">
        <v>28</v>
      </c>
      <c r="I333" s="1" t="s">
        <v>28</v>
      </c>
      <c r="J333">
        <v>7</v>
      </c>
      <c r="K333" s="1" t="s">
        <v>96</v>
      </c>
      <c r="L333" s="1" t="s">
        <v>28</v>
      </c>
      <c r="N333">
        <v>31937000</v>
      </c>
      <c r="O333" s="1" t="s">
        <v>28</v>
      </c>
      <c r="P333" s="1" t="s">
        <v>97</v>
      </c>
      <c r="Q333" s="1" t="s">
        <v>31</v>
      </c>
      <c r="R333" s="1" t="s">
        <v>28</v>
      </c>
      <c r="S333" s="1" t="s">
        <v>28</v>
      </c>
      <c r="T333" s="1" t="s">
        <v>32</v>
      </c>
      <c r="U333" s="1" t="s">
        <v>32</v>
      </c>
      <c r="V333">
        <v>1939313</v>
      </c>
      <c r="W333" s="1" t="s">
        <v>86</v>
      </c>
      <c r="X333" s="1" t="s">
        <v>28</v>
      </c>
      <c r="AA333" s="1" t="s">
        <v>101</v>
      </c>
    </row>
    <row r="334" spans="1:27" x14ac:dyDescent="0.35">
      <c r="A334" t="str">
        <f>VLOOKUP(F334,'[1]Trans Pte X Contabilizar'!$A:$B,2,FALSE)</f>
        <v>USSA - FRANCISCO CONTRERAS</v>
      </c>
      <c r="B334">
        <v>28448</v>
      </c>
      <c r="C334" s="1" t="s">
        <v>102</v>
      </c>
      <c r="D334" s="11">
        <v>136269800</v>
      </c>
      <c r="E334" s="1" t="s">
        <v>91</v>
      </c>
      <c r="F334">
        <v>204087</v>
      </c>
      <c r="G334" s="2">
        <v>45979</v>
      </c>
      <c r="H334" s="1" t="s">
        <v>28</v>
      </c>
      <c r="I334" s="1" t="s">
        <v>28</v>
      </c>
      <c r="J334">
        <v>7</v>
      </c>
      <c r="K334" s="1" t="s">
        <v>96</v>
      </c>
      <c r="L334" s="1" t="s">
        <v>28</v>
      </c>
      <c r="N334">
        <v>136269800</v>
      </c>
      <c r="O334" s="1" t="s">
        <v>28</v>
      </c>
      <c r="P334" s="1" t="s">
        <v>59</v>
      </c>
      <c r="Q334" s="1" t="s">
        <v>31</v>
      </c>
      <c r="R334" s="1" t="s">
        <v>28</v>
      </c>
      <c r="S334" s="1" t="s">
        <v>28</v>
      </c>
      <c r="T334" s="1" t="s">
        <v>32</v>
      </c>
      <c r="U334" s="1" t="s">
        <v>32</v>
      </c>
      <c r="V334">
        <v>1939881</v>
      </c>
      <c r="W334" s="1" t="s">
        <v>86</v>
      </c>
      <c r="X334" s="1" t="s">
        <v>28</v>
      </c>
      <c r="Y334" s="1" t="s">
        <v>103</v>
      </c>
      <c r="Z334" s="1" t="s">
        <v>104</v>
      </c>
      <c r="AA334" s="1" t="s">
        <v>105</v>
      </c>
    </row>
    <row r="335" spans="1:27" x14ac:dyDescent="0.35">
      <c r="A335" t="str">
        <f>VLOOKUP(F335,'[1]Trans Pte X Contabilizar'!$A:$B,2,FALSE)</f>
        <v>USSA - FRANCISCO CONTRERAS</v>
      </c>
      <c r="B335">
        <v>464361</v>
      </c>
      <c r="C335" s="1" t="s">
        <v>102</v>
      </c>
      <c r="D335" s="11">
        <v>70899500</v>
      </c>
      <c r="E335" s="1" t="s">
        <v>91</v>
      </c>
      <c r="F335">
        <v>204087</v>
      </c>
      <c r="G335" s="2">
        <v>45979</v>
      </c>
      <c r="H335" s="1" t="s">
        <v>28</v>
      </c>
      <c r="I335" s="1" t="s">
        <v>28</v>
      </c>
      <c r="J335">
        <v>9</v>
      </c>
      <c r="K335" s="1" t="s">
        <v>96</v>
      </c>
      <c r="L335" s="1" t="s">
        <v>28</v>
      </c>
      <c r="N335">
        <v>70899500</v>
      </c>
      <c r="O335" s="1" t="s">
        <v>28</v>
      </c>
      <c r="P335" s="1" t="s">
        <v>59</v>
      </c>
      <c r="Q335" s="1" t="s">
        <v>31</v>
      </c>
      <c r="R335" s="1" t="s">
        <v>28</v>
      </c>
      <c r="S335" s="1" t="s">
        <v>28</v>
      </c>
      <c r="T335" s="1" t="s">
        <v>32</v>
      </c>
      <c r="U335" s="1" t="s">
        <v>32</v>
      </c>
      <c r="V335">
        <v>1939881</v>
      </c>
      <c r="W335" s="1" t="s">
        <v>86</v>
      </c>
      <c r="X335" s="1" t="s">
        <v>28</v>
      </c>
      <c r="Y335" s="1" t="s">
        <v>28</v>
      </c>
      <c r="Z335" s="1" t="s">
        <v>28</v>
      </c>
      <c r="AA335" s="1" t="s">
        <v>105</v>
      </c>
    </row>
    <row r="336" spans="1:27" x14ac:dyDescent="0.35">
      <c r="A336" t="str">
        <f>VLOOKUP(F336,'[1]Trans Pte X Contabilizar'!$A:$B,2,FALSE)</f>
        <v>USSA - FRANCISCO CONTRERAS</v>
      </c>
      <c r="B336">
        <v>464360</v>
      </c>
      <c r="C336" s="1" t="s">
        <v>102</v>
      </c>
      <c r="D336" s="11">
        <v>70899500</v>
      </c>
      <c r="E336" s="1" t="s">
        <v>91</v>
      </c>
      <c r="F336">
        <v>204087</v>
      </c>
      <c r="G336" s="2">
        <v>45979</v>
      </c>
      <c r="H336" s="1" t="s">
        <v>28</v>
      </c>
      <c r="I336" s="1" t="s">
        <v>28</v>
      </c>
      <c r="J336">
        <v>11</v>
      </c>
      <c r="K336" s="1" t="s">
        <v>96</v>
      </c>
      <c r="L336" s="1" t="s">
        <v>28</v>
      </c>
      <c r="N336">
        <v>70899500</v>
      </c>
      <c r="O336" s="1" t="s">
        <v>28</v>
      </c>
      <c r="P336" s="1" t="s">
        <v>59</v>
      </c>
      <c r="Q336" s="1" t="s">
        <v>31</v>
      </c>
      <c r="R336" s="1" t="s">
        <v>28</v>
      </c>
      <c r="S336" s="1" t="s">
        <v>28</v>
      </c>
      <c r="T336" s="1" t="s">
        <v>32</v>
      </c>
      <c r="U336" s="1" t="s">
        <v>32</v>
      </c>
      <c r="V336">
        <v>1939881</v>
      </c>
      <c r="W336" s="1" t="s">
        <v>86</v>
      </c>
      <c r="X336" s="1" t="s">
        <v>28</v>
      </c>
      <c r="Y336" s="1" t="s">
        <v>28</v>
      </c>
      <c r="Z336" s="1" t="s">
        <v>28</v>
      </c>
      <c r="AA336" s="1" t="s">
        <v>105</v>
      </c>
    </row>
    <row r="337" spans="1:28" x14ac:dyDescent="0.35">
      <c r="A337" t="str">
        <f>VLOOKUP(F337,'[1]Trans Pte X Contabilizar'!$A:$B,2,FALSE)</f>
        <v>USSA - FRANCISCO CONTRERAS</v>
      </c>
      <c r="C337" s="1" t="s">
        <v>95</v>
      </c>
      <c r="D337" s="11">
        <v>-464000</v>
      </c>
      <c r="E337" s="1" t="s">
        <v>91</v>
      </c>
      <c r="F337">
        <v>204092</v>
      </c>
      <c r="G337" s="2">
        <v>45979</v>
      </c>
      <c r="H337" s="1" t="s">
        <v>28</v>
      </c>
      <c r="I337" s="1" t="s">
        <v>28</v>
      </c>
      <c r="J337">
        <v>1</v>
      </c>
      <c r="K337" s="1" t="s">
        <v>96</v>
      </c>
      <c r="L337" s="1" t="s">
        <v>28</v>
      </c>
      <c r="N337">
        <v>-464000</v>
      </c>
      <c r="O337" s="1" t="s">
        <v>28</v>
      </c>
      <c r="P337" s="1" t="s">
        <v>97</v>
      </c>
      <c r="Q337" s="1" t="s">
        <v>31</v>
      </c>
      <c r="R337" s="1" t="s">
        <v>28</v>
      </c>
      <c r="S337" s="1" t="s">
        <v>28</v>
      </c>
      <c r="T337" s="1" t="s">
        <v>32</v>
      </c>
      <c r="U337" s="1" t="s">
        <v>32</v>
      </c>
      <c r="V337">
        <v>1939944</v>
      </c>
      <c r="W337" s="1" t="s">
        <v>86</v>
      </c>
      <c r="X337" s="1" t="s">
        <v>28</v>
      </c>
      <c r="AA337" s="1" t="s">
        <v>101</v>
      </c>
    </row>
    <row r="338" spans="1:28" x14ac:dyDescent="0.35">
      <c r="A338" t="str">
        <f>VLOOKUP(F338,'[1]Trans Pte X Contabilizar'!$A:$B,2,FALSE)</f>
        <v>USSA - FRANCISCO CONTRERAS</v>
      </c>
      <c r="C338" s="1" t="s">
        <v>95</v>
      </c>
      <c r="D338" s="11">
        <v>-31937000</v>
      </c>
      <c r="E338" s="1" t="s">
        <v>91</v>
      </c>
      <c r="F338">
        <v>204092</v>
      </c>
      <c r="G338" s="2">
        <v>45979</v>
      </c>
      <c r="H338" s="1" t="s">
        <v>28</v>
      </c>
      <c r="I338" s="1" t="s">
        <v>28</v>
      </c>
      <c r="J338">
        <v>3</v>
      </c>
      <c r="K338" s="1" t="s">
        <v>96</v>
      </c>
      <c r="L338" s="1" t="s">
        <v>28</v>
      </c>
      <c r="N338">
        <v>-31937000</v>
      </c>
      <c r="O338" s="1" t="s">
        <v>28</v>
      </c>
      <c r="P338" s="1" t="s">
        <v>97</v>
      </c>
      <c r="Q338" s="1" t="s">
        <v>31</v>
      </c>
      <c r="R338" s="1" t="s">
        <v>28</v>
      </c>
      <c r="S338" s="1" t="s">
        <v>28</v>
      </c>
      <c r="T338" s="1" t="s">
        <v>32</v>
      </c>
      <c r="U338" s="1" t="s">
        <v>32</v>
      </c>
      <c r="V338">
        <v>1939944</v>
      </c>
      <c r="W338" s="1" t="s">
        <v>86</v>
      </c>
      <c r="X338" s="1" t="s">
        <v>28</v>
      </c>
      <c r="AA338" s="1" t="s">
        <v>101</v>
      </c>
    </row>
    <row r="339" spans="1:28" x14ac:dyDescent="0.35">
      <c r="A339" t="str">
        <f>VLOOKUP(F339,'[1]Trans Pte X Contabilizar'!$A:$B,2,FALSE)</f>
        <v>T.I</v>
      </c>
      <c r="B339">
        <v>466464</v>
      </c>
      <c r="C339" s="1" t="s">
        <v>106</v>
      </c>
      <c r="D339" s="11">
        <v>310498472.89999998</v>
      </c>
      <c r="E339" s="1" t="s">
        <v>91</v>
      </c>
      <c r="F339">
        <v>204349</v>
      </c>
      <c r="G339" s="2">
        <v>45982</v>
      </c>
      <c r="H339" s="1" t="s">
        <v>28</v>
      </c>
      <c r="I339" s="1" t="s">
        <v>28</v>
      </c>
      <c r="J339">
        <v>1</v>
      </c>
      <c r="K339" s="1" t="s">
        <v>107</v>
      </c>
      <c r="L339" s="1" t="s">
        <v>28</v>
      </c>
      <c r="N339">
        <v>110</v>
      </c>
      <c r="O339" s="1" t="s">
        <v>28</v>
      </c>
      <c r="P339" s="1" t="s">
        <v>108</v>
      </c>
      <c r="Q339" s="1" t="s">
        <v>31</v>
      </c>
      <c r="R339" s="1" t="s">
        <v>28</v>
      </c>
      <c r="S339" s="1" t="s">
        <v>28</v>
      </c>
      <c r="T339" s="1" t="s">
        <v>40</v>
      </c>
      <c r="U339" s="1" t="s">
        <v>40</v>
      </c>
      <c r="V339">
        <v>1941569</v>
      </c>
      <c r="W339" s="1" t="s">
        <v>86</v>
      </c>
      <c r="X339" s="1" t="s">
        <v>28</v>
      </c>
      <c r="Y339" s="1" t="s">
        <v>28</v>
      </c>
      <c r="Z339" s="1" t="s">
        <v>28</v>
      </c>
      <c r="AA339" s="1" t="s">
        <v>109</v>
      </c>
      <c r="AB339">
        <v>82992.800000000003</v>
      </c>
    </row>
    <row r="340" spans="1:28" x14ac:dyDescent="0.35">
      <c r="A340" t="str">
        <f>VLOOKUP(F340,'[1]Trans Pte X Contabilizar'!$A:$B,2,FALSE)</f>
        <v>T.I</v>
      </c>
      <c r="B340">
        <v>466464</v>
      </c>
      <c r="C340" s="1" t="s">
        <v>110</v>
      </c>
      <c r="D340" s="11">
        <v>182727218.40000001</v>
      </c>
      <c r="E340" s="1" t="s">
        <v>91</v>
      </c>
      <c r="F340">
        <v>204349</v>
      </c>
      <c r="G340" s="2">
        <v>45982</v>
      </c>
      <c r="H340" s="1" t="s">
        <v>28</v>
      </c>
      <c r="I340" s="1" t="s">
        <v>28</v>
      </c>
      <c r="J340">
        <v>3</v>
      </c>
      <c r="K340" s="1" t="s">
        <v>107</v>
      </c>
      <c r="L340" s="1" t="s">
        <v>28</v>
      </c>
      <c r="N340">
        <v>16</v>
      </c>
      <c r="O340" s="1" t="s">
        <v>28</v>
      </c>
      <c r="P340" s="1" t="s">
        <v>108</v>
      </c>
      <c r="Q340" s="1" t="s">
        <v>31</v>
      </c>
      <c r="R340" s="1" t="s">
        <v>28</v>
      </c>
      <c r="S340" s="1" t="s">
        <v>28</v>
      </c>
      <c r="T340" s="1" t="s">
        <v>40</v>
      </c>
      <c r="U340" s="1" t="s">
        <v>40</v>
      </c>
      <c r="V340">
        <v>1941569</v>
      </c>
      <c r="W340" s="1" t="s">
        <v>86</v>
      </c>
      <c r="X340" s="1" t="s">
        <v>28</v>
      </c>
      <c r="Y340" s="1" t="s">
        <v>28</v>
      </c>
      <c r="Z340" s="1" t="s">
        <v>28</v>
      </c>
      <c r="AA340" s="1" t="s">
        <v>109</v>
      </c>
      <c r="AB340">
        <v>48840.959999999999</v>
      </c>
    </row>
    <row r="341" spans="1:28" x14ac:dyDescent="0.35">
      <c r="A341" t="str">
        <f>VLOOKUP(F341,'[1]Trans Pte X Contabilizar'!$A:$B,2,FALSE)</f>
        <v>USSA - GEOVANNY PALACIOS</v>
      </c>
      <c r="C341" s="1" t="s">
        <v>111</v>
      </c>
      <c r="D341" s="11">
        <v>5081100</v>
      </c>
      <c r="E341" s="1" t="s">
        <v>91</v>
      </c>
      <c r="F341">
        <v>204421</v>
      </c>
      <c r="G341" s="2">
        <v>45984</v>
      </c>
      <c r="H341" s="1" t="s">
        <v>28</v>
      </c>
      <c r="I341" s="1" t="s">
        <v>28</v>
      </c>
      <c r="J341">
        <v>5</v>
      </c>
      <c r="K341" s="1" t="s">
        <v>112</v>
      </c>
      <c r="L341" s="1" t="s">
        <v>28</v>
      </c>
      <c r="N341">
        <v>1</v>
      </c>
      <c r="O341" s="1" t="s">
        <v>28</v>
      </c>
      <c r="P341" s="1" t="s">
        <v>97</v>
      </c>
      <c r="Q341" s="1" t="s">
        <v>31</v>
      </c>
      <c r="R341" s="1" t="s">
        <v>28</v>
      </c>
      <c r="S341" s="1" t="s">
        <v>28</v>
      </c>
      <c r="T341" s="1" t="s">
        <v>32</v>
      </c>
      <c r="U341" s="1" t="s">
        <v>32</v>
      </c>
      <c r="V341">
        <v>1942106</v>
      </c>
      <c r="W341" s="1" t="s">
        <v>86</v>
      </c>
      <c r="X341" s="1" t="s">
        <v>28</v>
      </c>
      <c r="AA341" s="1" t="s">
        <v>113</v>
      </c>
    </row>
    <row r="342" spans="1:28" x14ac:dyDescent="0.35">
      <c r="A342" t="str">
        <f>VLOOKUP(F342,'[1]Trans Pte X Contabilizar'!$A:$B,2,FALSE)</f>
        <v>USSA - GEOVANNY PALACIOS</v>
      </c>
      <c r="C342" s="1" t="s">
        <v>111</v>
      </c>
      <c r="D342" s="11">
        <v>2725911.8</v>
      </c>
      <c r="E342" s="1" t="s">
        <v>91</v>
      </c>
      <c r="F342">
        <v>204421</v>
      </c>
      <c r="G342" s="2">
        <v>45984</v>
      </c>
      <c r="H342" s="1" t="s">
        <v>28</v>
      </c>
      <c r="I342" s="1" t="s">
        <v>28</v>
      </c>
      <c r="J342">
        <v>7</v>
      </c>
      <c r="K342" s="1" t="s">
        <v>112</v>
      </c>
      <c r="L342" s="1" t="s">
        <v>28</v>
      </c>
      <c r="N342">
        <v>1</v>
      </c>
      <c r="O342" s="1" t="s">
        <v>28</v>
      </c>
      <c r="P342" s="1" t="s">
        <v>97</v>
      </c>
      <c r="Q342" s="1" t="s">
        <v>31</v>
      </c>
      <c r="R342" s="1" t="s">
        <v>28</v>
      </c>
      <c r="S342" s="1" t="s">
        <v>28</v>
      </c>
      <c r="T342" s="1" t="s">
        <v>32</v>
      </c>
      <c r="U342" s="1" t="s">
        <v>32</v>
      </c>
      <c r="V342">
        <v>1942106</v>
      </c>
      <c r="W342" s="1" t="s">
        <v>86</v>
      </c>
      <c r="X342" s="1" t="s">
        <v>28</v>
      </c>
      <c r="AA342" s="1" t="s">
        <v>113</v>
      </c>
    </row>
    <row r="343" spans="1:28" x14ac:dyDescent="0.35">
      <c r="A343" t="str">
        <f>VLOOKUP(F343,'[1]Trans Pte X Contabilizar'!$A:$B,2,FALSE)</f>
        <v>USSA - GEOVANNY PALACIOS</v>
      </c>
      <c r="B343">
        <v>468342</v>
      </c>
      <c r="C343" s="1" t="s">
        <v>102</v>
      </c>
      <c r="D343" s="11">
        <v>100377687</v>
      </c>
      <c r="E343" s="1" t="s">
        <v>91</v>
      </c>
      <c r="F343">
        <v>204516</v>
      </c>
      <c r="G343" s="2">
        <v>45986</v>
      </c>
      <c r="H343" s="1" t="s">
        <v>28</v>
      </c>
      <c r="I343" s="1" t="s">
        <v>28</v>
      </c>
      <c r="J343">
        <v>1</v>
      </c>
      <c r="K343" s="1" t="s">
        <v>114</v>
      </c>
      <c r="L343" s="1" t="s">
        <v>28</v>
      </c>
      <c r="N343">
        <v>100377687</v>
      </c>
      <c r="O343" s="1" t="s">
        <v>28</v>
      </c>
      <c r="P343" s="1" t="s">
        <v>59</v>
      </c>
      <c r="Q343" s="1" t="s">
        <v>31</v>
      </c>
      <c r="R343" s="1" t="s">
        <v>28</v>
      </c>
      <c r="S343" s="1" t="s">
        <v>28</v>
      </c>
      <c r="T343" s="1" t="s">
        <v>32</v>
      </c>
      <c r="U343" s="1" t="s">
        <v>32</v>
      </c>
      <c r="V343">
        <v>1942825</v>
      </c>
      <c r="W343" s="1" t="s">
        <v>86</v>
      </c>
      <c r="X343" s="1" t="s">
        <v>28</v>
      </c>
      <c r="Y343" s="1" t="s">
        <v>28</v>
      </c>
      <c r="Z343" s="1" t="s">
        <v>28</v>
      </c>
      <c r="AA343" s="1" t="s">
        <v>115</v>
      </c>
    </row>
    <row r="344" spans="1:28" x14ac:dyDescent="0.35">
      <c r="A344" t="str">
        <f>VLOOKUP(F344,'[1]Trans Pte X Contabilizar'!$A:$B,2,FALSE)</f>
        <v>USSA - GEOVANNY PALACIOS</v>
      </c>
      <c r="B344">
        <v>468342</v>
      </c>
      <c r="C344" s="1" t="s">
        <v>102</v>
      </c>
      <c r="D344" s="11">
        <v>-100377687</v>
      </c>
      <c r="E344" s="1" t="s">
        <v>91</v>
      </c>
      <c r="F344">
        <v>204642</v>
      </c>
      <c r="G344" s="2">
        <v>45986</v>
      </c>
      <c r="H344" s="1" t="s">
        <v>28</v>
      </c>
      <c r="I344" s="1" t="s">
        <v>28</v>
      </c>
      <c r="J344">
        <v>1</v>
      </c>
      <c r="K344" s="1" t="s">
        <v>114</v>
      </c>
      <c r="L344" s="1" t="s">
        <v>28</v>
      </c>
      <c r="N344">
        <v>-100377687</v>
      </c>
      <c r="O344" s="1" t="s">
        <v>28</v>
      </c>
      <c r="P344" s="1" t="s">
        <v>59</v>
      </c>
      <c r="Q344" s="1" t="s">
        <v>31</v>
      </c>
      <c r="R344" s="1" t="s">
        <v>28</v>
      </c>
      <c r="S344" s="1" t="s">
        <v>28</v>
      </c>
      <c r="T344" s="1" t="s">
        <v>32</v>
      </c>
      <c r="U344" s="1" t="s">
        <v>32</v>
      </c>
      <c r="V344">
        <v>1943264</v>
      </c>
      <c r="W344" s="1" t="s">
        <v>86</v>
      </c>
      <c r="X344" s="1" t="s">
        <v>28</v>
      </c>
      <c r="Y344" s="1" t="s">
        <v>28</v>
      </c>
      <c r="Z344" s="1" t="s">
        <v>28</v>
      </c>
      <c r="AA344" s="1" t="s">
        <v>115</v>
      </c>
    </row>
    <row r="345" spans="1:28" x14ac:dyDescent="0.35">
      <c r="A345" t="str">
        <f>VLOOKUP(F345,'[1]Trans Pte X Contabilizar'!$A:$B,2,FALSE)</f>
        <v>USSA - GEOVANNY PALACIOS</v>
      </c>
      <c r="B345">
        <v>468342</v>
      </c>
      <c r="C345" s="1" t="s">
        <v>116</v>
      </c>
      <c r="D345" s="11">
        <v>100377687</v>
      </c>
      <c r="E345" s="1" t="s">
        <v>91</v>
      </c>
      <c r="F345">
        <v>204674</v>
      </c>
      <c r="G345" s="2">
        <v>45987</v>
      </c>
      <c r="H345" s="1" t="s">
        <v>28</v>
      </c>
      <c r="I345" s="1" t="s">
        <v>28</v>
      </c>
      <c r="J345">
        <v>1</v>
      </c>
      <c r="K345" s="1" t="s">
        <v>117</v>
      </c>
      <c r="L345" s="1" t="s">
        <v>28</v>
      </c>
      <c r="N345">
        <v>100377687</v>
      </c>
      <c r="O345" s="1" t="s">
        <v>28</v>
      </c>
      <c r="P345" s="1" t="s">
        <v>59</v>
      </c>
      <c r="Q345" s="1" t="s">
        <v>31</v>
      </c>
      <c r="R345" s="1" t="s">
        <v>28</v>
      </c>
      <c r="S345" s="1" t="s">
        <v>28</v>
      </c>
      <c r="T345" s="1" t="s">
        <v>32</v>
      </c>
      <c r="U345" s="1" t="s">
        <v>32</v>
      </c>
      <c r="V345">
        <v>1943301</v>
      </c>
      <c r="W345" s="1" t="s">
        <v>86</v>
      </c>
      <c r="X345" s="1" t="s">
        <v>28</v>
      </c>
      <c r="Y345" s="1" t="s">
        <v>28</v>
      </c>
      <c r="Z345" s="1" t="s">
        <v>28</v>
      </c>
      <c r="AA345" s="1" t="s">
        <v>118</v>
      </c>
    </row>
    <row r="346" spans="1:28" x14ac:dyDescent="0.35">
      <c r="A346" t="str">
        <f>VLOOKUP(F346,'[1]Trans Pte X Contabilizar'!$A:$B,2,FALSE)</f>
        <v>SUBESTACIONES</v>
      </c>
      <c r="B346">
        <v>468342</v>
      </c>
      <c r="C346" s="1" t="s">
        <v>119</v>
      </c>
      <c r="D346" s="11">
        <v>115522313</v>
      </c>
      <c r="E346" s="1" t="s">
        <v>91</v>
      </c>
      <c r="F346">
        <v>204839</v>
      </c>
      <c r="G346" s="2">
        <v>45988</v>
      </c>
      <c r="H346" s="1" t="s">
        <v>28</v>
      </c>
      <c r="I346" s="1" t="s">
        <v>28</v>
      </c>
      <c r="J346">
        <v>1</v>
      </c>
      <c r="K346" s="1" t="s">
        <v>114</v>
      </c>
      <c r="L346" s="1" t="s">
        <v>28</v>
      </c>
      <c r="N346">
        <v>1</v>
      </c>
      <c r="O346" s="1" t="s">
        <v>28</v>
      </c>
      <c r="P346" s="1" t="s">
        <v>59</v>
      </c>
      <c r="Q346" s="1" t="s">
        <v>31</v>
      </c>
      <c r="R346" s="1" t="s">
        <v>28</v>
      </c>
      <c r="S346" s="1" t="s">
        <v>28</v>
      </c>
      <c r="T346" s="1" t="s">
        <v>32</v>
      </c>
      <c r="U346" s="1" t="s">
        <v>32</v>
      </c>
      <c r="V346">
        <v>1943984</v>
      </c>
      <c r="W346" s="1" t="s">
        <v>86</v>
      </c>
      <c r="X346" s="1" t="s">
        <v>28</v>
      </c>
      <c r="Y346" s="1" t="s">
        <v>28</v>
      </c>
      <c r="Z346" s="1" t="s">
        <v>28</v>
      </c>
      <c r="AA346" s="1" t="s">
        <v>120</v>
      </c>
    </row>
    <row r="347" spans="1:28" x14ac:dyDescent="0.35">
      <c r="A347" t="s">
        <v>165</v>
      </c>
      <c r="B347">
        <v>420506</v>
      </c>
      <c r="C347" s="1" t="s">
        <v>121</v>
      </c>
      <c r="D347" s="11">
        <v>5421744</v>
      </c>
      <c r="E347" s="1" t="s">
        <v>91</v>
      </c>
      <c r="F347">
        <v>204908</v>
      </c>
      <c r="G347" s="2">
        <v>45989</v>
      </c>
      <c r="H347" s="1" t="s">
        <v>28</v>
      </c>
      <c r="I347" s="1" t="s">
        <v>28</v>
      </c>
      <c r="J347">
        <v>5</v>
      </c>
      <c r="K347" s="1" t="s">
        <v>122</v>
      </c>
      <c r="L347" s="1" t="s">
        <v>28</v>
      </c>
      <c r="N347">
        <v>5421744</v>
      </c>
      <c r="O347" s="1" t="s">
        <v>28</v>
      </c>
      <c r="P347" s="1" t="s">
        <v>123</v>
      </c>
      <c r="Q347" s="1" t="s">
        <v>31</v>
      </c>
      <c r="R347" s="1" t="s">
        <v>28</v>
      </c>
      <c r="S347" s="1" t="s">
        <v>28</v>
      </c>
      <c r="T347" s="1" t="s">
        <v>32</v>
      </c>
      <c r="U347" s="1" t="s">
        <v>32</v>
      </c>
      <c r="V347">
        <v>1944383</v>
      </c>
      <c r="W347" s="1" t="s">
        <v>86</v>
      </c>
      <c r="X347" s="1" t="s">
        <v>28</v>
      </c>
      <c r="Y347" s="1" t="s">
        <v>28</v>
      </c>
      <c r="Z347" s="1" t="s">
        <v>28</v>
      </c>
      <c r="AA347" s="1" t="s">
        <v>124</v>
      </c>
    </row>
    <row r="348" spans="1:28" x14ac:dyDescent="0.35">
      <c r="A348" t="s">
        <v>165</v>
      </c>
      <c r="B348">
        <v>420506</v>
      </c>
      <c r="C348" s="1" t="s">
        <v>125</v>
      </c>
      <c r="D348" s="11">
        <v>54787383</v>
      </c>
      <c r="E348" s="1" t="s">
        <v>91</v>
      </c>
      <c r="F348">
        <v>204908</v>
      </c>
      <c r="G348" s="2">
        <v>45989</v>
      </c>
      <c r="H348" s="1" t="s">
        <v>28</v>
      </c>
      <c r="I348" s="1" t="s">
        <v>28</v>
      </c>
      <c r="J348">
        <v>7</v>
      </c>
      <c r="K348" s="1" t="s">
        <v>122</v>
      </c>
      <c r="L348" s="1" t="s">
        <v>28</v>
      </c>
      <c r="N348">
        <v>54787383</v>
      </c>
      <c r="O348" s="1" t="s">
        <v>28</v>
      </c>
      <c r="P348" s="1" t="s">
        <v>123</v>
      </c>
      <c r="Q348" s="1" t="s">
        <v>31</v>
      </c>
      <c r="R348" s="1" t="s">
        <v>28</v>
      </c>
      <c r="S348" s="1" t="s">
        <v>28</v>
      </c>
      <c r="T348" s="1" t="s">
        <v>32</v>
      </c>
      <c r="U348" s="1" t="s">
        <v>32</v>
      </c>
      <c r="V348">
        <v>1944383</v>
      </c>
      <c r="W348" s="1" t="s">
        <v>86</v>
      </c>
      <c r="X348" s="1" t="s">
        <v>28</v>
      </c>
      <c r="Y348" s="1" t="s">
        <v>28</v>
      </c>
      <c r="Z348" s="1" t="s">
        <v>28</v>
      </c>
      <c r="AA348" s="1" t="s">
        <v>124</v>
      </c>
    </row>
    <row r="349" spans="1:28" x14ac:dyDescent="0.35">
      <c r="A349" t="s">
        <v>165</v>
      </c>
      <c r="B349">
        <v>462932</v>
      </c>
      <c r="C349" s="1" t="s">
        <v>121</v>
      </c>
      <c r="D349" s="11">
        <v>14417965</v>
      </c>
      <c r="E349" s="1" t="s">
        <v>91</v>
      </c>
      <c r="F349">
        <v>204909</v>
      </c>
      <c r="G349" s="2">
        <v>45989</v>
      </c>
      <c r="H349" s="1" t="s">
        <v>28</v>
      </c>
      <c r="I349" s="1" t="s">
        <v>28</v>
      </c>
      <c r="J349">
        <v>5</v>
      </c>
      <c r="K349" s="1" t="s">
        <v>122</v>
      </c>
      <c r="L349" s="1" t="s">
        <v>28</v>
      </c>
      <c r="N349">
        <v>14417965</v>
      </c>
      <c r="O349" s="1" t="s">
        <v>28</v>
      </c>
      <c r="P349" s="1" t="s">
        <v>126</v>
      </c>
      <c r="Q349" s="1" t="s">
        <v>31</v>
      </c>
      <c r="R349" s="1" t="s">
        <v>28</v>
      </c>
      <c r="S349" s="1" t="s">
        <v>28</v>
      </c>
      <c r="T349" s="1" t="s">
        <v>32</v>
      </c>
      <c r="U349" s="1" t="s">
        <v>32</v>
      </c>
      <c r="V349">
        <v>1944383</v>
      </c>
      <c r="W349" s="1" t="s">
        <v>86</v>
      </c>
      <c r="X349" s="1" t="s">
        <v>28</v>
      </c>
      <c r="Y349" s="1" t="s">
        <v>28</v>
      </c>
      <c r="Z349" s="1" t="s">
        <v>28</v>
      </c>
      <c r="AA349" s="1" t="s">
        <v>127</v>
      </c>
    </row>
    <row r="350" spans="1:28" x14ac:dyDescent="0.35">
      <c r="A350" t="s">
        <v>165</v>
      </c>
      <c r="B350">
        <v>462932</v>
      </c>
      <c r="C350" s="1" t="s">
        <v>125</v>
      </c>
      <c r="D350" s="11">
        <v>2057669</v>
      </c>
      <c r="E350" s="1" t="s">
        <v>91</v>
      </c>
      <c r="F350">
        <v>204909</v>
      </c>
      <c r="G350" s="2">
        <v>45989</v>
      </c>
      <c r="H350" s="1" t="s">
        <v>28</v>
      </c>
      <c r="I350" s="1" t="s">
        <v>28</v>
      </c>
      <c r="J350">
        <v>7</v>
      </c>
      <c r="K350" s="1" t="s">
        <v>122</v>
      </c>
      <c r="L350" s="1" t="s">
        <v>28</v>
      </c>
      <c r="N350">
        <v>2057669</v>
      </c>
      <c r="O350" s="1" t="s">
        <v>28</v>
      </c>
      <c r="P350" s="1" t="s">
        <v>126</v>
      </c>
      <c r="Q350" s="1" t="s">
        <v>31</v>
      </c>
      <c r="R350" s="1" t="s">
        <v>28</v>
      </c>
      <c r="S350" s="1" t="s">
        <v>28</v>
      </c>
      <c r="T350" s="1" t="s">
        <v>32</v>
      </c>
      <c r="U350" s="1" t="s">
        <v>32</v>
      </c>
      <c r="V350">
        <v>1944383</v>
      </c>
      <c r="W350" s="1" t="s">
        <v>86</v>
      </c>
      <c r="X350" s="1" t="s">
        <v>28</v>
      </c>
      <c r="Y350" s="1" t="s">
        <v>28</v>
      </c>
      <c r="Z350" s="1" t="s">
        <v>28</v>
      </c>
      <c r="AA350" s="1" t="s">
        <v>127</v>
      </c>
    </row>
    <row r="351" spans="1:28" x14ac:dyDescent="0.35">
      <c r="A351" t="s">
        <v>165</v>
      </c>
      <c r="B351">
        <v>420502</v>
      </c>
      <c r="C351" s="1" t="s">
        <v>128</v>
      </c>
      <c r="D351" s="11">
        <v>14366802</v>
      </c>
      <c r="E351" s="1" t="s">
        <v>91</v>
      </c>
      <c r="F351">
        <v>204910</v>
      </c>
      <c r="G351" s="2">
        <v>45989</v>
      </c>
      <c r="H351" s="1" t="s">
        <v>28</v>
      </c>
      <c r="I351" s="1" t="s">
        <v>28</v>
      </c>
      <c r="J351">
        <v>11</v>
      </c>
      <c r="K351" s="1" t="s">
        <v>122</v>
      </c>
      <c r="L351" s="1" t="s">
        <v>28</v>
      </c>
      <c r="N351">
        <v>14366802</v>
      </c>
      <c r="O351" s="1" t="s">
        <v>28</v>
      </c>
      <c r="P351" s="1" t="s">
        <v>129</v>
      </c>
      <c r="Q351" s="1" t="s">
        <v>31</v>
      </c>
      <c r="R351" s="1" t="s">
        <v>28</v>
      </c>
      <c r="S351" s="1" t="s">
        <v>28</v>
      </c>
      <c r="T351" s="1" t="s">
        <v>32</v>
      </c>
      <c r="U351" s="1" t="s">
        <v>32</v>
      </c>
      <c r="V351">
        <v>1944383</v>
      </c>
      <c r="W351" s="1" t="s">
        <v>86</v>
      </c>
      <c r="X351" s="1" t="s">
        <v>28</v>
      </c>
      <c r="Y351" s="1" t="s">
        <v>28</v>
      </c>
      <c r="Z351" s="1" t="s">
        <v>28</v>
      </c>
      <c r="AA351" s="1" t="s">
        <v>130</v>
      </c>
    </row>
    <row r="352" spans="1:28" x14ac:dyDescent="0.35">
      <c r="A352" t="s">
        <v>165</v>
      </c>
      <c r="B352">
        <v>420502</v>
      </c>
      <c r="C352" s="1" t="s">
        <v>131</v>
      </c>
      <c r="D352" s="11">
        <v>99720882</v>
      </c>
      <c r="E352" s="1" t="s">
        <v>91</v>
      </c>
      <c r="F352">
        <v>204910</v>
      </c>
      <c r="G352" s="2">
        <v>45989</v>
      </c>
      <c r="H352" s="1" t="s">
        <v>28</v>
      </c>
      <c r="I352" s="1" t="s">
        <v>28</v>
      </c>
      <c r="J352">
        <v>13</v>
      </c>
      <c r="K352" s="1" t="s">
        <v>122</v>
      </c>
      <c r="L352" s="1" t="s">
        <v>28</v>
      </c>
      <c r="N352">
        <v>99720882</v>
      </c>
      <c r="O352" s="1" t="s">
        <v>28</v>
      </c>
      <c r="P352" s="1" t="s">
        <v>129</v>
      </c>
      <c r="Q352" s="1" t="s">
        <v>31</v>
      </c>
      <c r="R352" s="1" t="s">
        <v>28</v>
      </c>
      <c r="S352" s="1" t="s">
        <v>28</v>
      </c>
      <c r="T352" s="1" t="s">
        <v>32</v>
      </c>
      <c r="U352" s="1" t="s">
        <v>32</v>
      </c>
      <c r="V352">
        <v>1944383</v>
      </c>
      <c r="W352" s="1" t="s">
        <v>86</v>
      </c>
      <c r="X352" s="1" t="s">
        <v>28</v>
      </c>
      <c r="Y352" s="1" t="s">
        <v>28</v>
      </c>
      <c r="Z352" s="1" t="s">
        <v>28</v>
      </c>
      <c r="AA352" s="1" t="s">
        <v>130</v>
      </c>
    </row>
    <row r="353" spans="1:27" x14ac:dyDescent="0.35">
      <c r="A353" t="s">
        <v>165</v>
      </c>
      <c r="B353">
        <v>420502</v>
      </c>
      <c r="C353" s="1" t="s">
        <v>121</v>
      </c>
      <c r="D353" s="11">
        <v>304914</v>
      </c>
      <c r="E353" s="1" t="s">
        <v>91</v>
      </c>
      <c r="F353">
        <v>204910</v>
      </c>
      <c r="G353" s="2">
        <v>45989</v>
      </c>
      <c r="H353" s="1" t="s">
        <v>28</v>
      </c>
      <c r="I353" s="1" t="s">
        <v>28</v>
      </c>
      <c r="J353">
        <v>15</v>
      </c>
      <c r="K353" s="1" t="s">
        <v>122</v>
      </c>
      <c r="L353" s="1" t="s">
        <v>28</v>
      </c>
      <c r="N353">
        <v>304914</v>
      </c>
      <c r="O353" s="1" t="s">
        <v>28</v>
      </c>
      <c r="P353" s="1" t="s">
        <v>129</v>
      </c>
      <c r="Q353" s="1" t="s">
        <v>31</v>
      </c>
      <c r="R353" s="1" t="s">
        <v>28</v>
      </c>
      <c r="S353" s="1" t="s">
        <v>28</v>
      </c>
      <c r="T353" s="1" t="s">
        <v>32</v>
      </c>
      <c r="U353" s="1" t="s">
        <v>32</v>
      </c>
      <c r="V353">
        <v>1944383</v>
      </c>
      <c r="W353" s="1" t="s">
        <v>86</v>
      </c>
      <c r="X353" s="1" t="s">
        <v>28</v>
      </c>
      <c r="Y353" s="1" t="s">
        <v>28</v>
      </c>
      <c r="Z353" s="1" t="s">
        <v>28</v>
      </c>
      <c r="AA353" s="1" t="s">
        <v>130</v>
      </c>
    </row>
    <row r="354" spans="1:27" x14ac:dyDescent="0.35">
      <c r="A354" t="s">
        <v>165</v>
      </c>
      <c r="B354">
        <v>420502</v>
      </c>
      <c r="C354" s="1" t="s">
        <v>90</v>
      </c>
      <c r="D354" s="11">
        <v>23476862</v>
      </c>
      <c r="E354" s="1" t="s">
        <v>91</v>
      </c>
      <c r="F354">
        <v>204910</v>
      </c>
      <c r="G354" s="2">
        <v>45989</v>
      </c>
      <c r="H354" s="1" t="s">
        <v>28</v>
      </c>
      <c r="I354" s="1" t="s">
        <v>28</v>
      </c>
      <c r="J354">
        <v>17</v>
      </c>
      <c r="K354" s="1" t="s">
        <v>122</v>
      </c>
      <c r="L354" s="1" t="s">
        <v>28</v>
      </c>
      <c r="N354">
        <v>23476862</v>
      </c>
      <c r="O354" s="1" t="s">
        <v>28</v>
      </c>
      <c r="P354" s="1" t="s">
        <v>129</v>
      </c>
      <c r="Q354" s="1" t="s">
        <v>31</v>
      </c>
      <c r="R354" s="1" t="s">
        <v>28</v>
      </c>
      <c r="S354" s="1" t="s">
        <v>28</v>
      </c>
      <c r="T354" s="1" t="s">
        <v>32</v>
      </c>
      <c r="U354" s="1" t="s">
        <v>32</v>
      </c>
      <c r="V354">
        <v>1944383</v>
      </c>
      <c r="W354" s="1" t="s">
        <v>86</v>
      </c>
      <c r="X354" s="1" t="s">
        <v>28</v>
      </c>
      <c r="Y354" s="1" t="s">
        <v>28</v>
      </c>
      <c r="Z354" s="1" t="s">
        <v>28</v>
      </c>
      <c r="AA354" s="1" t="s">
        <v>130</v>
      </c>
    </row>
    <row r="355" spans="1:27" x14ac:dyDescent="0.35">
      <c r="A355" t="s">
        <v>165</v>
      </c>
      <c r="B355">
        <v>420502</v>
      </c>
      <c r="C355" s="1" t="s">
        <v>132</v>
      </c>
      <c r="D355" s="11">
        <v>127182448</v>
      </c>
      <c r="E355" s="1" t="s">
        <v>91</v>
      </c>
      <c r="F355">
        <v>204910</v>
      </c>
      <c r="G355" s="2">
        <v>45989</v>
      </c>
      <c r="H355" s="1" t="s">
        <v>28</v>
      </c>
      <c r="I355" s="1" t="s">
        <v>28</v>
      </c>
      <c r="J355">
        <v>19</v>
      </c>
      <c r="K355" s="1" t="s">
        <v>122</v>
      </c>
      <c r="L355" s="1" t="s">
        <v>28</v>
      </c>
      <c r="N355">
        <v>127182448</v>
      </c>
      <c r="O355" s="1" t="s">
        <v>28</v>
      </c>
      <c r="P355" s="1" t="s">
        <v>129</v>
      </c>
      <c r="Q355" s="1" t="s">
        <v>31</v>
      </c>
      <c r="R355" s="1" t="s">
        <v>28</v>
      </c>
      <c r="S355" s="1" t="s">
        <v>28</v>
      </c>
      <c r="T355" s="1" t="s">
        <v>32</v>
      </c>
      <c r="U355" s="1" t="s">
        <v>32</v>
      </c>
      <c r="V355">
        <v>1944383</v>
      </c>
      <c r="W355" s="1" t="s">
        <v>86</v>
      </c>
      <c r="X355" s="1" t="s">
        <v>28</v>
      </c>
      <c r="Y355" s="1" t="s">
        <v>28</v>
      </c>
      <c r="Z355" s="1" t="s">
        <v>28</v>
      </c>
      <c r="AA355" s="1" t="s">
        <v>130</v>
      </c>
    </row>
    <row r="356" spans="1:27" x14ac:dyDescent="0.35">
      <c r="A356" t="s">
        <v>165</v>
      </c>
      <c r="B356">
        <v>420504</v>
      </c>
      <c r="C356" s="1" t="s">
        <v>121</v>
      </c>
      <c r="D356" s="11">
        <v>627764</v>
      </c>
      <c r="E356" s="1" t="s">
        <v>91</v>
      </c>
      <c r="F356">
        <v>204911</v>
      </c>
      <c r="G356" s="2">
        <v>45989</v>
      </c>
      <c r="H356" s="1" t="s">
        <v>28</v>
      </c>
      <c r="I356" s="1" t="s">
        <v>28</v>
      </c>
      <c r="J356">
        <v>5</v>
      </c>
      <c r="K356" s="1" t="s">
        <v>122</v>
      </c>
      <c r="L356" s="1" t="s">
        <v>28</v>
      </c>
      <c r="N356">
        <v>627764</v>
      </c>
      <c r="O356" s="1" t="s">
        <v>28</v>
      </c>
      <c r="P356" s="1" t="s">
        <v>133</v>
      </c>
      <c r="Q356" s="1" t="s">
        <v>31</v>
      </c>
      <c r="R356" s="1" t="s">
        <v>28</v>
      </c>
      <c r="S356" s="1" t="s">
        <v>28</v>
      </c>
      <c r="T356" s="1" t="s">
        <v>32</v>
      </c>
      <c r="U356" s="1" t="s">
        <v>32</v>
      </c>
      <c r="V356">
        <v>1944383</v>
      </c>
      <c r="W356" s="1" t="s">
        <v>86</v>
      </c>
      <c r="X356" s="1" t="s">
        <v>28</v>
      </c>
      <c r="Y356" s="1" t="s">
        <v>28</v>
      </c>
      <c r="Z356" s="1" t="s">
        <v>28</v>
      </c>
      <c r="AA356" s="1" t="s">
        <v>134</v>
      </c>
    </row>
    <row r="357" spans="1:27" x14ac:dyDescent="0.35">
      <c r="A357" t="s">
        <v>165</v>
      </c>
      <c r="B357">
        <v>420504</v>
      </c>
      <c r="C357" s="1" t="s">
        <v>132</v>
      </c>
      <c r="D357" s="11">
        <v>15132033</v>
      </c>
      <c r="E357" s="1" t="s">
        <v>91</v>
      </c>
      <c r="F357">
        <v>204911</v>
      </c>
      <c r="G357" s="2">
        <v>45989</v>
      </c>
      <c r="H357" s="1" t="s">
        <v>28</v>
      </c>
      <c r="I357" s="1" t="s">
        <v>28</v>
      </c>
      <c r="J357">
        <v>7</v>
      </c>
      <c r="K357" s="1" t="s">
        <v>122</v>
      </c>
      <c r="L357" s="1" t="s">
        <v>28</v>
      </c>
      <c r="N357">
        <v>15132033</v>
      </c>
      <c r="O357" s="1" t="s">
        <v>28</v>
      </c>
      <c r="P357" s="1" t="s">
        <v>133</v>
      </c>
      <c r="Q357" s="1" t="s">
        <v>31</v>
      </c>
      <c r="R357" s="1" t="s">
        <v>28</v>
      </c>
      <c r="S357" s="1" t="s">
        <v>28</v>
      </c>
      <c r="T357" s="1" t="s">
        <v>32</v>
      </c>
      <c r="U357" s="1" t="s">
        <v>32</v>
      </c>
      <c r="V357">
        <v>1944383</v>
      </c>
      <c r="W357" s="1" t="s">
        <v>86</v>
      </c>
      <c r="X357" s="1" t="s">
        <v>28</v>
      </c>
      <c r="Y357" s="1" t="s">
        <v>28</v>
      </c>
      <c r="Z357" s="1" t="s">
        <v>28</v>
      </c>
      <c r="AA357" s="1" t="s">
        <v>134</v>
      </c>
    </row>
    <row r="358" spans="1:27" x14ac:dyDescent="0.35">
      <c r="A358" t="s">
        <v>165</v>
      </c>
      <c r="B358">
        <v>420507</v>
      </c>
      <c r="C358" s="1" t="s">
        <v>125</v>
      </c>
      <c r="D358" s="11">
        <v>3906267</v>
      </c>
      <c r="E358" s="1" t="s">
        <v>91</v>
      </c>
      <c r="F358">
        <v>204912</v>
      </c>
      <c r="G358" s="2">
        <v>45989</v>
      </c>
      <c r="H358" s="1" t="s">
        <v>28</v>
      </c>
      <c r="I358" s="1" t="s">
        <v>28</v>
      </c>
      <c r="J358">
        <v>5</v>
      </c>
      <c r="K358" s="1" t="s">
        <v>122</v>
      </c>
      <c r="L358" s="1" t="s">
        <v>28</v>
      </c>
      <c r="N358">
        <v>3906267</v>
      </c>
      <c r="O358" s="1" t="s">
        <v>28</v>
      </c>
      <c r="P358" s="1" t="s">
        <v>135</v>
      </c>
      <c r="Q358" s="1" t="s">
        <v>31</v>
      </c>
      <c r="R358" s="1" t="s">
        <v>28</v>
      </c>
      <c r="S358" s="1" t="s">
        <v>28</v>
      </c>
      <c r="T358" s="1" t="s">
        <v>32</v>
      </c>
      <c r="U358" s="1" t="s">
        <v>32</v>
      </c>
      <c r="V358">
        <v>1944383</v>
      </c>
      <c r="W358" s="1" t="s">
        <v>86</v>
      </c>
      <c r="X358" s="1" t="s">
        <v>28</v>
      </c>
      <c r="Y358" s="1" t="s">
        <v>28</v>
      </c>
      <c r="Z358" s="1" t="s">
        <v>28</v>
      </c>
      <c r="AA358" s="1" t="s">
        <v>136</v>
      </c>
    </row>
    <row r="359" spans="1:27" x14ac:dyDescent="0.35">
      <c r="A359" t="s">
        <v>165</v>
      </c>
      <c r="B359">
        <v>420507</v>
      </c>
      <c r="C359" s="1" t="s">
        <v>121</v>
      </c>
      <c r="D359" s="11">
        <v>78408</v>
      </c>
      <c r="E359" s="1" t="s">
        <v>91</v>
      </c>
      <c r="F359">
        <v>204912</v>
      </c>
      <c r="G359" s="2">
        <v>45989</v>
      </c>
      <c r="H359" s="1" t="s">
        <v>28</v>
      </c>
      <c r="I359" s="1" t="s">
        <v>28</v>
      </c>
      <c r="J359">
        <v>7</v>
      </c>
      <c r="K359" s="1" t="s">
        <v>122</v>
      </c>
      <c r="L359" s="1" t="s">
        <v>28</v>
      </c>
      <c r="N359">
        <v>78408</v>
      </c>
      <c r="O359" s="1" t="s">
        <v>28</v>
      </c>
      <c r="P359" s="1" t="s">
        <v>135</v>
      </c>
      <c r="Q359" s="1" t="s">
        <v>31</v>
      </c>
      <c r="R359" s="1" t="s">
        <v>28</v>
      </c>
      <c r="S359" s="1" t="s">
        <v>28</v>
      </c>
      <c r="T359" s="1" t="s">
        <v>32</v>
      </c>
      <c r="U359" s="1" t="s">
        <v>32</v>
      </c>
      <c r="V359">
        <v>1944383</v>
      </c>
      <c r="W359" s="1" t="s">
        <v>86</v>
      </c>
      <c r="X359" s="1" t="s">
        <v>28</v>
      </c>
      <c r="Y359" s="1" t="s">
        <v>28</v>
      </c>
      <c r="Z359" s="1" t="s">
        <v>28</v>
      </c>
      <c r="AA359" s="1" t="s">
        <v>136</v>
      </c>
    </row>
    <row r="360" spans="1:27" x14ac:dyDescent="0.35">
      <c r="A360" t="s">
        <v>165</v>
      </c>
      <c r="B360">
        <v>462932</v>
      </c>
      <c r="C360" s="1" t="s">
        <v>125</v>
      </c>
      <c r="D360" s="11">
        <v>40994</v>
      </c>
      <c r="E360" s="1" t="s">
        <v>91</v>
      </c>
      <c r="F360">
        <v>204913</v>
      </c>
      <c r="G360" s="2">
        <v>45989</v>
      </c>
      <c r="H360" s="1" t="s">
        <v>28</v>
      </c>
      <c r="I360" s="1" t="s">
        <v>28</v>
      </c>
      <c r="J360">
        <v>1</v>
      </c>
      <c r="K360" s="1" t="s">
        <v>122</v>
      </c>
      <c r="L360" s="1" t="s">
        <v>28</v>
      </c>
      <c r="N360">
        <v>40994</v>
      </c>
      <c r="O360" s="1" t="s">
        <v>28</v>
      </c>
      <c r="P360" s="1" t="s">
        <v>137</v>
      </c>
      <c r="Q360" s="1" t="s">
        <v>31</v>
      </c>
      <c r="R360" s="1" t="s">
        <v>28</v>
      </c>
      <c r="S360" s="1" t="s">
        <v>28</v>
      </c>
      <c r="T360" s="1" t="s">
        <v>32</v>
      </c>
      <c r="U360" s="1" t="s">
        <v>32</v>
      </c>
      <c r="V360">
        <v>1944383</v>
      </c>
      <c r="W360" s="1" t="s">
        <v>86</v>
      </c>
      <c r="X360" s="1" t="s">
        <v>28</v>
      </c>
      <c r="Y360" s="1" t="s">
        <v>28</v>
      </c>
      <c r="Z360" s="1" t="s">
        <v>28</v>
      </c>
      <c r="AA360" s="1" t="s">
        <v>138</v>
      </c>
    </row>
    <row r="361" spans="1:27" x14ac:dyDescent="0.35">
      <c r="A361" t="s">
        <v>165</v>
      </c>
      <c r="B361">
        <v>420503</v>
      </c>
      <c r="C361" s="1" t="s">
        <v>132</v>
      </c>
      <c r="D361" s="11">
        <v>17006252</v>
      </c>
      <c r="E361" s="1" t="s">
        <v>91</v>
      </c>
      <c r="F361">
        <v>204914</v>
      </c>
      <c r="G361" s="2">
        <v>45989</v>
      </c>
      <c r="H361" s="1" t="s">
        <v>28</v>
      </c>
      <c r="I361" s="1" t="s">
        <v>28</v>
      </c>
      <c r="J361">
        <v>7</v>
      </c>
      <c r="K361" s="1" t="s">
        <v>122</v>
      </c>
      <c r="L361" s="1" t="s">
        <v>28</v>
      </c>
      <c r="N361">
        <v>17006252</v>
      </c>
      <c r="O361" s="1" t="s">
        <v>28</v>
      </c>
      <c r="P361" s="1" t="s">
        <v>139</v>
      </c>
      <c r="Q361" s="1" t="s">
        <v>31</v>
      </c>
      <c r="R361" s="1" t="s">
        <v>28</v>
      </c>
      <c r="S361" s="1" t="s">
        <v>28</v>
      </c>
      <c r="T361" s="1" t="s">
        <v>32</v>
      </c>
      <c r="U361" s="1" t="s">
        <v>32</v>
      </c>
      <c r="V361">
        <v>1944383</v>
      </c>
      <c r="W361" s="1" t="s">
        <v>86</v>
      </c>
      <c r="X361" s="1" t="s">
        <v>28</v>
      </c>
      <c r="Y361" s="1" t="s">
        <v>28</v>
      </c>
      <c r="Z361" s="1" t="s">
        <v>28</v>
      </c>
      <c r="AA361" s="1" t="s">
        <v>140</v>
      </c>
    </row>
    <row r="362" spans="1:27" x14ac:dyDescent="0.35">
      <c r="A362" t="s">
        <v>165</v>
      </c>
      <c r="B362">
        <v>420503</v>
      </c>
      <c r="C362" s="1" t="s">
        <v>131</v>
      </c>
      <c r="D362" s="11">
        <v>49431937</v>
      </c>
      <c r="E362" s="1" t="s">
        <v>91</v>
      </c>
      <c r="F362">
        <v>204914</v>
      </c>
      <c r="G362" s="2">
        <v>45989</v>
      </c>
      <c r="H362" s="1" t="s">
        <v>28</v>
      </c>
      <c r="I362" s="1" t="s">
        <v>28</v>
      </c>
      <c r="J362">
        <v>9</v>
      </c>
      <c r="K362" s="1" t="s">
        <v>122</v>
      </c>
      <c r="L362" s="1" t="s">
        <v>28</v>
      </c>
      <c r="N362">
        <v>49431937</v>
      </c>
      <c r="O362" s="1" t="s">
        <v>28</v>
      </c>
      <c r="P362" s="1" t="s">
        <v>139</v>
      </c>
      <c r="Q362" s="1" t="s">
        <v>31</v>
      </c>
      <c r="R362" s="1" t="s">
        <v>28</v>
      </c>
      <c r="S362" s="1" t="s">
        <v>28</v>
      </c>
      <c r="T362" s="1" t="s">
        <v>32</v>
      </c>
      <c r="U362" s="1" t="s">
        <v>32</v>
      </c>
      <c r="V362">
        <v>1944383</v>
      </c>
      <c r="W362" s="1" t="s">
        <v>86</v>
      </c>
      <c r="X362" s="1" t="s">
        <v>28</v>
      </c>
      <c r="Y362" s="1" t="s">
        <v>28</v>
      </c>
      <c r="Z362" s="1" t="s">
        <v>28</v>
      </c>
      <c r="AA362" s="1" t="s">
        <v>140</v>
      </c>
    </row>
    <row r="363" spans="1:27" x14ac:dyDescent="0.35">
      <c r="A363" t="s">
        <v>165</v>
      </c>
      <c r="B363">
        <v>420503</v>
      </c>
      <c r="C363" s="1" t="s">
        <v>90</v>
      </c>
      <c r="D363" s="11">
        <v>2172670</v>
      </c>
      <c r="E363" s="1" t="s">
        <v>91</v>
      </c>
      <c r="F363">
        <v>204914</v>
      </c>
      <c r="G363" s="2">
        <v>45989</v>
      </c>
      <c r="H363" s="1" t="s">
        <v>28</v>
      </c>
      <c r="I363" s="1" t="s">
        <v>28</v>
      </c>
      <c r="J363">
        <v>11</v>
      </c>
      <c r="K363" s="1" t="s">
        <v>122</v>
      </c>
      <c r="L363" s="1" t="s">
        <v>28</v>
      </c>
      <c r="N363">
        <v>2172670</v>
      </c>
      <c r="O363" s="1" t="s">
        <v>28</v>
      </c>
      <c r="P363" s="1" t="s">
        <v>139</v>
      </c>
      <c r="Q363" s="1" t="s">
        <v>31</v>
      </c>
      <c r="R363" s="1" t="s">
        <v>28</v>
      </c>
      <c r="S363" s="1" t="s">
        <v>28</v>
      </c>
      <c r="T363" s="1" t="s">
        <v>32</v>
      </c>
      <c r="U363" s="1" t="s">
        <v>32</v>
      </c>
      <c r="V363">
        <v>1944383</v>
      </c>
      <c r="W363" s="1" t="s">
        <v>86</v>
      </c>
      <c r="X363" s="1" t="s">
        <v>28</v>
      </c>
      <c r="Y363" s="1" t="s">
        <v>28</v>
      </c>
      <c r="Z363" s="1" t="s">
        <v>28</v>
      </c>
      <c r="AA363" s="1" t="s">
        <v>140</v>
      </c>
    </row>
    <row r="364" spans="1:27" x14ac:dyDescent="0.35">
      <c r="A364" t="s">
        <v>165</v>
      </c>
      <c r="B364">
        <v>420504</v>
      </c>
      <c r="C364" s="1" t="s">
        <v>132</v>
      </c>
      <c r="D364" s="11">
        <v>258652</v>
      </c>
      <c r="E364" s="1" t="s">
        <v>91</v>
      </c>
      <c r="F364">
        <v>204915</v>
      </c>
      <c r="G364" s="2">
        <v>45989</v>
      </c>
      <c r="H364" s="1" t="s">
        <v>28</v>
      </c>
      <c r="I364" s="1" t="s">
        <v>28</v>
      </c>
      <c r="J364">
        <v>7</v>
      </c>
      <c r="K364" s="1" t="s">
        <v>122</v>
      </c>
      <c r="L364" s="1" t="s">
        <v>28</v>
      </c>
      <c r="N364">
        <v>258652</v>
      </c>
      <c r="O364" s="1" t="s">
        <v>28</v>
      </c>
      <c r="P364" s="1" t="s">
        <v>141</v>
      </c>
      <c r="Q364" s="1" t="s">
        <v>31</v>
      </c>
      <c r="R364" s="1" t="s">
        <v>28</v>
      </c>
      <c r="S364" s="1" t="s">
        <v>28</v>
      </c>
      <c r="T364" s="1" t="s">
        <v>32</v>
      </c>
      <c r="U364" s="1" t="s">
        <v>32</v>
      </c>
      <c r="V364">
        <v>1944383</v>
      </c>
      <c r="W364" s="1" t="s">
        <v>86</v>
      </c>
      <c r="X364" s="1" t="s">
        <v>28</v>
      </c>
      <c r="Y364" s="1" t="s">
        <v>28</v>
      </c>
      <c r="Z364" s="1" t="s">
        <v>28</v>
      </c>
      <c r="AA364" s="1" t="s">
        <v>142</v>
      </c>
    </row>
    <row r="365" spans="1:27" x14ac:dyDescent="0.35">
      <c r="A365" t="s">
        <v>165</v>
      </c>
      <c r="B365">
        <v>420504</v>
      </c>
      <c r="C365" s="1" t="s">
        <v>131</v>
      </c>
      <c r="D365" s="11">
        <v>21828</v>
      </c>
      <c r="E365" s="1" t="s">
        <v>91</v>
      </c>
      <c r="F365">
        <v>204915</v>
      </c>
      <c r="G365" s="2">
        <v>45989</v>
      </c>
      <c r="H365" s="1" t="s">
        <v>28</v>
      </c>
      <c r="I365" s="1" t="s">
        <v>28</v>
      </c>
      <c r="J365">
        <v>9</v>
      </c>
      <c r="K365" s="1" t="s">
        <v>122</v>
      </c>
      <c r="L365" s="1" t="s">
        <v>28</v>
      </c>
      <c r="N365">
        <v>21828</v>
      </c>
      <c r="O365" s="1" t="s">
        <v>28</v>
      </c>
      <c r="P365" s="1" t="s">
        <v>141</v>
      </c>
      <c r="Q365" s="1" t="s">
        <v>31</v>
      </c>
      <c r="R365" s="1" t="s">
        <v>28</v>
      </c>
      <c r="S365" s="1" t="s">
        <v>28</v>
      </c>
      <c r="T365" s="1" t="s">
        <v>32</v>
      </c>
      <c r="U365" s="1" t="s">
        <v>32</v>
      </c>
      <c r="V365">
        <v>1944383</v>
      </c>
      <c r="W365" s="1" t="s">
        <v>86</v>
      </c>
      <c r="X365" s="1" t="s">
        <v>28</v>
      </c>
      <c r="Y365" s="1" t="s">
        <v>28</v>
      </c>
      <c r="Z365" s="1" t="s">
        <v>28</v>
      </c>
      <c r="AA365" s="1" t="s">
        <v>142</v>
      </c>
    </row>
    <row r="366" spans="1:27" x14ac:dyDescent="0.35">
      <c r="A366" t="s">
        <v>165</v>
      </c>
      <c r="B366">
        <v>420504</v>
      </c>
      <c r="C366" s="1" t="s">
        <v>90</v>
      </c>
      <c r="D366" s="11">
        <v>43915</v>
      </c>
      <c r="E366" s="1" t="s">
        <v>91</v>
      </c>
      <c r="F366">
        <v>204915</v>
      </c>
      <c r="G366" s="2">
        <v>45989</v>
      </c>
      <c r="H366" s="1" t="s">
        <v>28</v>
      </c>
      <c r="I366" s="1" t="s">
        <v>28</v>
      </c>
      <c r="J366">
        <v>11</v>
      </c>
      <c r="K366" s="1" t="s">
        <v>122</v>
      </c>
      <c r="L366" s="1" t="s">
        <v>28</v>
      </c>
      <c r="N366">
        <v>43915</v>
      </c>
      <c r="O366" s="1" t="s">
        <v>28</v>
      </c>
      <c r="P366" s="1" t="s">
        <v>141</v>
      </c>
      <c r="Q366" s="1" t="s">
        <v>31</v>
      </c>
      <c r="R366" s="1" t="s">
        <v>28</v>
      </c>
      <c r="S366" s="1" t="s">
        <v>28</v>
      </c>
      <c r="T366" s="1" t="s">
        <v>32</v>
      </c>
      <c r="U366" s="1" t="s">
        <v>32</v>
      </c>
      <c r="V366">
        <v>1944383</v>
      </c>
      <c r="W366" s="1" t="s">
        <v>86</v>
      </c>
      <c r="X366" s="1" t="s">
        <v>28</v>
      </c>
      <c r="Y366" s="1" t="s">
        <v>28</v>
      </c>
      <c r="Z366" s="1" t="s">
        <v>28</v>
      </c>
      <c r="AA366" s="1" t="s">
        <v>142</v>
      </c>
    </row>
    <row r="367" spans="1:27" x14ac:dyDescent="0.35">
      <c r="A367" t="str">
        <f>VLOOKUP(F367,'[1]Trans Pte X Contabilizar'!$A:$B,2,FALSE)</f>
        <v>USSA - FRANCISCO CONTRERAS</v>
      </c>
      <c r="B367">
        <v>464592</v>
      </c>
      <c r="C367" s="1" t="s">
        <v>111</v>
      </c>
      <c r="D367" s="11">
        <v>978545.15</v>
      </c>
      <c r="E367" s="1" t="s">
        <v>91</v>
      </c>
      <c r="F367">
        <v>204918</v>
      </c>
      <c r="G367" s="2">
        <v>45989</v>
      </c>
      <c r="H367" s="1" t="s">
        <v>28</v>
      </c>
      <c r="I367" s="1" t="s">
        <v>28</v>
      </c>
      <c r="J367">
        <v>19</v>
      </c>
      <c r="K367" s="1" t="s">
        <v>143</v>
      </c>
      <c r="L367" s="1" t="s">
        <v>28</v>
      </c>
      <c r="N367">
        <v>1</v>
      </c>
      <c r="O367" s="1" t="s">
        <v>28</v>
      </c>
      <c r="P367" s="1" t="s">
        <v>144</v>
      </c>
      <c r="Q367" s="1" t="s">
        <v>31</v>
      </c>
      <c r="R367" s="1" t="s">
        <v>28</v>
      </c>
      <c r="S367" s="1" t="s">
        <v>28</v>
      </c>
      <c r="T367" s="1" t="s">
        <v>32</v>
      </c>
      <c r="U367" s="1" t="s">
        <v>32</v>
      </c>
      <c r="V367">
        <v>1944417</v>
      </c>
      <c r="W367" s="1" t="s">
        <v>86</v>
      </c>
      <c r="X367" s="1" t="s">
        <v>28</v>
      </c>
      <c r="Y367" s="1" t="s">
        <v>28</v>
      </c>
      <c r="Z367" s="1" t="s">
        <v>28</v>
      </c>
      <c r="AA367" s="1" t="s">
        <v>145</v>
      </c>
    </row>
    <row r="368" spans="1:27" x14ac:dyDescent="0.35">
      <c r="A368" t="str">
        <f>VLOOKUP(F368,'[1]Trans Pte X Contabilizar'!$A:$B,2,FALSE)</f>
        <v>USSA - FRANCISCO CONTRERAS</v>
      </c>
      <c r="B368">
        <v>311316</v>
      </c>
      <c r="C368" s="1" t="s">
        <v>111</v>
      </c>
      <c r="D368" s="11">
        <v>5861861.8200000003</v>
      </c>
      <c r="E368" s="1" t="s">
        <v>91</v>
      </c>
      <c r="F368">
        <v>204918</v>
      </c>
      <c r="G368" s="2">
        <v>45989</v>
      </c>
      <c r="H368" s="1" t="s">
        <v>28</v>
      </c>
      <c r="I368" s="1" t="s">
        <v>28</v>
      </c>
      <c r="J368">
        <v>21</v>
      </c>
      <c r="K368" s="1" t="s">
        <v>143</v>
      </c>
      <c r="L368" s="1" t="s">
        <v>28</v>
      </c>
      <c r="N368">
        <v>1</v>
      </c>
      <c r="O368" s="1" t="s">
        <v>28</v>
      </c>
      <c r="P368" s="1" t="s">
        <v>146</v>
      </c>
      <c r="Q368" s="1" t="s">
        <v>31</v>
      </c>
      <c r="R368" s="1" t="s">
        <v>28</v>
      </c>
      <c r="S368" s="1" t="s">
        <v>28</v>
      </c>
      <c r="T368" s="1" t="s">
        <v>32</v>
      </c>
      <c r="U368" s="1" t="s">
        <v>32</v>
      </c>
      <c r="V368">
        <v>1944417</v>
      </c>
      <c r="W368" s="1" t="s">
        <v>86</v>
      </c>
      <c r="X368" s="1" t="s">
        <v>28</v>
      </c>
      <c r="Y368" s="1" t="s">
        <v>28</v>
      </c>
      <c r="Z368" s="1" t="s">
        <v>28</v>
      </c>
      <c r="AA368" s="1" t="s">
        <v>145</v>
      </c>
    </row>
    <row r="369" spans="1:28" x14ac:dyDescent="0.35">
      <c r="A369" t="str">
        <f>VLOOKUP(F369,'[1]Trans Pte X Contabilizar'!$A:$B,2,FALSE)</f>
        <v>USSA - FRANCISCO CONTRERAS</v>
      </c>
      <c r="B369">
        <v>311316</v>
      </c>
      <c r="C369" s="1" t="s">
        <v>111</v>
      </c>
      <c r="D369" s="11">
        <v>4182701.5</v>
      </c>
      <c r="E369" s="1" t="s">
        <v>91</v>
      </c>
      <c r="F369">
        <v>204918</v>
      </c>
      <c r="G369" s="2">
        <v>45989</v>
      </c>
      <c r="H369" s="1" t="s">
        <v>28</v>
      </c>
      <c r="I369" s="1" t="s">
        <v>28</v>
      </c>
      <c r="J369">
        <v>23</v>
      </c>
      <c r="K369" s="1" t="s">
        <v>143</v>
      </c>
      <c r="L369" s="1" t="s">
        <v>28</v>
      </c>
      <c r="N369">
        <v>1</v>
      </c>
      <c r="O369" s="1" t="s">
        <v>28</v>
      </c>
      <c r="P369" s="1" t="s">
        <v>146</v>
      </c>
      <c r="Q369" s="1" t="s">
        <v>31</v>
      </c>
      <c r="R369" s="1" t="s">
        <v>28</v>
      </c>
      <c r="S369" s="1" t="s">
        <v>28</v>
      </c>
      <c r="T369" s="1" t="s">
        <v>32</v>
      </c>
      <c r="U369" s="1" t="s">
        <v>32</v>
      </c>
      <c r="V369">
        <v>1944417</v>
      </c>
      <c r="W369" s="1" t="s">
        <v>86</v>
      </c>
      <c r="X369" s="1" t="s">
        <v>28</v>
      </c>
      <c r="Y369" s="1" t="s">
        <v>28</v>
      </c>
      <c r="Z369" s="1" t="s">
        <v>28</v>
      </c>
      <c r="AA369" s="1" t="s">
        <v>145</v>
      </c>
    </row>
    <row r="370" spans="1:28" x14ac:dyDescent="0.35">
      <c r="A370" t="str">
        <f>VLOOKUP(F370,'[1]Trans Pte X Contabilizar'!$A:$B,2,FALSE)</f>
        <v>USSA - FRANCISCO CONTRERAS</v>
      </c>
      <c r="B370">
        <v>311316</v>
      </c>
      <c r="C370" s="1" t="s">
        <v>111</v>
      </c>
      <c r="D370" s="11">
        <v>2583156.54</v>
      </c>
      <c r="E370" s="1" t="s">
        <v>91</v>
      </c>
      <c r="F370">
        <v>204918</v>
      </c>
      <c r="G370" s="2">
        <v>45989</v>
      </c>
      <c r="H370" s="1" t="s">
        <v>28</v>
      </c>
      <c r="I370" s="1" t="s">
        <v>28</v>
      </c>
      <c r="J370">
        <v>25</v>
      </c>
      <c r="K370" s="1" t="s">
        <v>143</v>
      </c>
      <c r="L370" s="1" t="s">
        <v>28</v>
      </c>
      <c r="N370">
        <v>1</v>
      </c>
      <c r="O370" s="1" t="s">
        <v>28</v>
      </c>
      <c r="P370" s="1" t="s">
        <v>146</v>
      </c>
      <c r="Q370" s="1" t="s">
        <v>31</v>
      </c>
      <c r="R370" s="1" t="s">
        <v>28</v>
      </c>
      <c r="S370" s="1" t="s">
        <v>28</v>
      </c>
      <c r="T370" s="1" t="s">
        <v>32</v>
      </c>
      <c r="U370" s="1" t="s">
        <v>32</v>
      </c>
      <c r="V370">
        <v>1944417</v>
      </c>
      <c r="W370" s="1" t="s">
        <v>86</v>
      </c>
      <c r="X370" s="1" t="s">
        <v>28</v>
      </c>
      <c r="Y370" s="1" t="s">
        <v>28</v>
      </c>
      <c r="Z370" s="1" t="s">
        <v>28</v>
      </c>
      <c r="AA370" s="1" t="s">
        <v>145</v>
      </c>
    </row>
    <row r="371" spans="1:28" x14ac:dyDescent="0.35">
      <c r="A371" t="str">
        <f>VLOOKUP(F371,'[1]Trans Pte X Contabilizar'!$A:$B,2,FALSE)</f>
        <v>USSA - FRANCISCO CONTRERAS</v>
      </c>
      <c r="B371">
        <v>311317</v>
      </c>
      <c r="C371" s="1" t="s">
        <v>111</v>
      </c>
      <c r="D371" s="11">
        <v>3340950.02</v>
      </c>
      <c r="E371" s="1" t="s">
        <v>91</v>
      </c>
      <c r="F371">
        <v>204918</v>
      </c>
      <c r="G371" s="2">
        <v>45989</v>
      </c>
      <c r="H371" s="1" t="s">
        <v>28</v>
      </c>
      <c r="I371" s="1" t="s">
        <v>28</v>
      </c>
      <c r="J371">
        <v>27</v>
      </c>
      <c r="K371" s="1" t="s">
        <v>143</v>
      </c>
      <c r="L371" s="1" t="s">
        <v>28</v>
      </c>
      <c r="N371">
        <v>1</v>
      </c>
      <c r="O371" s="1" t="s">
        <v>28</v>
      </c>
      <c r="P371" s="1" t="s">
        <v>146</v>
      </c>
      <c r="Q371" s="1" t="s">
        <v>31</v>
      </c>
      <c r="R371" s="1" t="s">
        <v>28</v>
      </c>
      <c r="S371" s="1" t="s">
        <v>28</v>
      </c>
      <c r="T371" s="1" t="s">
        <v>32</v>
      </c>
      <c r="U371" s="1" t="s">
        <v>32</v>
      </c>
      <c r="V371">
        <v>1944417</v>
      </c>
      <c r="W371" s="1" t="s">
        <v>86</v>
      </c>
      <c r="X371" s="1" t="s">
        <v>28</v>
      </c>
      <c r="Y371" s="1" t="s">
        <v>28</v>
      </c>
      <c r="Z371" s="1" t="s">
        <v>28</v>
      </c>
      <c r="AA371" s="1" t="s">
        <v>145</v>
      </c>
    </row>
    <row r="372" spans="1:28" x14ac:dyDescent="0.35">
      <c r="A372" t="str">
        <f>VLOOKUP(F372,'[1]Trans Pte X Contabilizar'!$A:$B,2,FALSE)</f>
        <v>USSA - FRANCISCO CONTRERAS</v>
      </c>
      <c r="B372">
        <v>311317</v>
      </c>
      <c r="C372" s="1" t="s">
        <v>111</v>
      </c>
      <c r="D372" s="11">
        <v>9170241.9199999999</v>
      </c>
      <c r="E372" s="1" t="s">
        <v>91</v>
      </c>
      <c r="F372">
        <v>204918</v>
      </c>
      <c r="G372" s="2">
        <v>45989</v>
      </c>
      <c r="H372" s="1" t="s">
        <v>28</v>
      </c>
      <c r="I372" s="1" t="s">
        <v>28</v>
      </c>
      <c r="J372">
        <v>29</v>
      </c>
      <c r="K372" s="1" t="s">
        <v>143</v>
      </c>
      <c r="L372" s="1" t="s">
        <v>28</v>
      </c>
      <c r="N372">
        <v>1</v>
      </c>
      <c r="O372" s="1" t="s">
        <v>28</v>
      </c>
      <c r="P372" s="1" t="s">
        <v>146</v>
      </c>
      <c r="Q372" s="1" t="s">
        <v>31</v>
      </c>
      <c r="R372" s="1" t="s">
        <v>28</v>
      </c>
      <c r="S372" s="1" t="s">
        <v>28</v>
      </c>
      <c r="T372" s="1" t="s">
        <v>32</v>
      </c>
      <c r="U372" s="1" t="s">
        <v>32</v>
      </c>
      <c r="V372">
        <v>1944417</v>
      </c>
      <c r="W372" s="1" t="s">
        <v>86</v>
      </c>
      <c r="X372" s="1" t="s">
        <v>28</v>
      </c>
      <c r="Y372" s="1" t="s">
        <v>28</v>
      </c>
      <c r="Z372" s="1" t="s">
        <v>28</v>
      </c>
      <c r="AA372" s="1" t="s">
        <v>145</v>
      </c>
    </row>
    <row r="373" spans="1:28" x14ac:dyDescent="0.35">
      <c r="A373" t="str">
        <f>VLOOKUP(F373,'[1]Trans Pte X Contabilizar'!$A:$B,2,FALSE)</f>
        <v>T.I</v>
      </c>
      <c r="B373">
        <v>466464</v>
      </c>
      <c r="C373" s="1" t="s">
        <v>106</v>
      </c>
      <c r="D373" s="11">
        <v>58994709.850000001</v>
      </c>
      <c r="E373" s="1" t="s">
        <v>147</v>
      </c>
      <c r="F373">
        <v>22306</v>
      </c>
      <c r="G373" s="2">
        <v>45982</v>
      </c>
      <c r="H373" s="1" t="s">
        <v>28</v>
      </c>
      <c r="I373" s="1" t="s">
        <v>28</v>
      </c>
      <c r="J373">
        <v>2</v>
      </c>
      <c r="K373" s="1" t="s">
        <v>107</v>
      </c>
      <c r="L373" s="1" t="s">
        <v>28</v>
      </c>
      <c r="O373" s="1" t="s">
        <v>28</v>
      </c>
      <c r="P373" s="1" t="s">
        <v>108</v>
      </c>
      <c r="Q373" s="1" t="s">
        <v>31</v>
      </c>
      <c r="R373" s="1" t="s">
        <v>28</v>
      </c>
      <c r="S373" s="1" t="s">
        <v>28</v>
      </c>
      <c r="T373" s="1" t="s">
        <v>40</v>
      </c>
      <c r="U373" s="1" t="s">
        <v>40</v>
      </c>
      <c r="V373">
        <v>1944480</v>
      </c>
      <c r="W373" s="1" t="s">
        <v>148</v>
      </c>
      <c r="X373" s="1" t="s">
        <v>28</v>
      </c>
      <c r="Y373" s="1" t="s">
        <v>28</v>
      </c>
      <c r="Z373" s="1" t="s">
        <v>28</v>
      </c>
      <c r="AA373" s="1" t="s">
        <v>109</v>
      </c>
      <c r="AB373">
        <v>15768.63</v>
      </c>
    </row>
    <row r="374" spans="1:28" x14ac:dyDescent="0.35">
      <c r="A374" t="str">
        <f>VLOOKUP(F374,'[1]Trans Pte X Contabilizar'!$A:$B,2,FALSE)</f>
        <v>T.I</v>
      </c>
      <c r="B374">
        <v>466464</v>
      </c>
      <c r="C374" s="1" t="s">
        <v>110</v>
      </c>
      <c r="D374" s="11">
        <v>34718171.5</v>
      </c>
      <c r="E374" s="1" t="s">
        <v>147</v>
      </c>
      <c r="F374">
        <v>22306</v>
      </c>
      <c r="G374" s="2">
        <v>45982</v>
      </c>
      <c r="H374" s="1" t="s">
        <v>28</v>
      </c>
      <c r="I374" s="1" t="s">
        <v>28</v>
      </c>
      <c r="J374">
        <v>4</v>
      </c>
      <c r="K374" s="1" t="s">
        <v>107</v>
      </c>
      <c r="L374" s="1" t="s">
        <v>28</v>
      </c>
      <c r="O374" s="1" t="s">
        <v>28</v>
      </c>
      <c r="P374" s="1" t="s">
        <v>108</v>
      </c>
      <c r="Q374" s="1" t="s">
        <v>31</v>
      </c>
      <c r="R374" s="1" t="s">
        <v>28</v>
      </c>
      <c r="S374" s="1" t="s">
        <v>28</v>
      </c>
      <c r="T374" s="1" t="s">
        <v>40</v>
      </c>
      <c r="U374" s="1" t="s">
        <v>40</v>
      </c>
      <c r="V374">
        <v>1944480</v>
      </c>
      <c r="W374" s="1" t="s">
        <v>148</v>
      </c>
      <c r="X374" s="1" t="s">
        <v>28</v>
      </c>
      <c r="Y374" s="1" t="s">
        <v>28</v>
      </c>
      <c r="Z374" s="1" t="s">
        <v>28</v>
      </c>
      <c r="AA374" s="1" t="s">
        <v>109</v>
      </c>
      <c r="AB374">
        <v>9279.7800000000007</v>
      </c>
    </row>
    <row r="375" spans="1:28" x14ac:dyDescent="0.35">
      <c r="A375" t="str">
        <f>VLOOKUP(F375,'[1]Trans Pte X Contabilizar'!$A:$B,2,FALSE)</f>
        <v>USSA - GEOVANNY PALACIOS</v>
      </c>
      <c r="C375" s="1" t="s">
        <v>111</v>
      </c>
      <c r="D375" s="11">
        <v>1963650</v>
      </c>
      <c r="E375" s="1" t="s">
        <v>147</v>
      </c>
      <c r="F375">
        <v>41185</v>
      </c>
      <c r="G375" s="2">
        <v>45967</v>
      </c>
      <c r="H375" s="1" t="s">
        <v>28</v>
      </c>
      <c r="I375" s="1" t="s">
        <v>28</v>
      </c>
      <c r="J375">
        <v>2</v>
      </c>
      <c r="K375" s="1" t="s">
        <v>112</v>
      </c>
      <c r="L375" s="1" t="s">
        <v>28</v>
      </c>
      <c r="O375" s="1" t="s">
        <v>28</v>
      </c>
      <c r="P375" s="1" t="s">
        <v>97</v>
      </c>
      <c r="Q375" s="1" t="s">
        <v>31</v>
      </c>
      <c r="R375" s="1" t="s">
        <v>28</v>
      </c>
      <c r="S375" s="1" t="s">
        <v>28</v>
      </c>
      <c r="T375" s="1" t="s">
        <v>32</v>
      </c>
      <c r="U375" s="1" t="s">
        <v>32</v>
      </c>
      <c r="V375">
        <v>1939667</v>
      </c>
      <c r="W375" s="1" t="s">
        <v>148</v>
      </c>
      <c r="X375" s="1" t="s">
        <v>28</v>
      </c>
      <c r="AA375" s="1" t="s">
        <v>149</v>
      </c>
    </row>
    <row r="376" spans="1:28" x14ac:dyDescent="0.35">
      <c r="A376" t="str">
        <f>VLOOKUP(F376,'[1]Trans Pte X Contabilizar'!$A:$B,2,FALSE)</f>
        <v>USSA - DIANA DAVILA</v>
      </c>
      <c r="C376" s="1" t="s">
        <v>150</v>
      </c>
      <c r="D376" s="11">
        <v>62539.26</v>
      </c>
      <c r="E376" s="1" t="s">
        <v>147</v>
      </c>
      <c r="F376">
        <v>41274</v>
      </c>
      <c r="G376" s="2">
        <v>45986</v>
      </c>
      <c r="H376" s="1" t="s">
        <v>28</v>
      </c>
      <c r="I376" s="1" t="s">
        <v>28</v>
      </c>
      <c r="J376">
        <v>2</v>
      </c>
      <c r="K376" s="1" t="s">
        <v>151</v>
      </c>
      <c r="L376" s="1" t="s">
        <v>28</v>
      </c>
      <c r="O376" s="1" t="s">
        <v>28</v>
      </c>
      <c r="P376" s="1" t="s">
        <v>152</v>
      </c>
      <c r="Q376" s="1" t="s">
        <v>31</v>
      </c>
      <c r="R376" s="1" t="s">
        <v>28</v>
      </c>
      <c r="S376" s="1" t="s">
        <v>28</v>
      </c>
      <c r="T376" s="1" t="s">
        <v>32</v>
      </c>
      <c r="U376" s="1" t="s">
        <v>32</v>
      </c>
      <c r="V376">
        <v>1944480</v>
      </c>
      <c r="W376" s="1" t="s">
        <v>148</v>
      </c>
      <c r="X376" s="1" t="s">
        <v>28</v>
      </c>
      <c r="AA376" s="1" t="s">
        <v>153</v>
      </c>
    </row>
    <row r="377" spans="1:28" x14ac:dyDescent="0.35">
      <c r="A377" t="str">
        <f>VLOOKUP(F377,'[1]Trans Pte X Contabilizar'!$A:$B,2,FALSE)</f>
        <v>USSA - DIANA DAVILA</v>
      </c>
      <c r="C377" s="1" t="s">
        <v>150</v>
      </c>
      <c r="D377" s="11">
        <v>75977.86</v>
      </c>
      <c r="E377" s="1" t="s">
        <v>147</v>
      </c>
      <c r="F377">
        <v>41274</v>
      </c>
      <c r="G377" s="2">
        <v>45986</v>
      </c>
      <c r="H377" s="1" t="s">
        <v>28</v>
      </c>
      <c r="I377" s="1" t="s">
        <v>28</v>
      </c>
      <c r="J377">
        <v>4</v>
      </c>
      <c r="K377" s="1" t="s">
        <v>151</v>
      </c>
      <c r="L377" s="1" t="s">
        <v>28</v>
      </c>
      <c r="O377" s="1" t="s">
        <v>28</v>
      </c>
      <c r="P377" s="1" t="s">
        <v>152</v>
      </c>
      <c r="Q377" s="1" t="s">
        <v>31</v>
      </c>
      <c r="R377" s="1" t="s">
        <v>28</v>
      </c>
      <c r="S377" s="1" t="s">
        <v>28</v>
      </c>
      <c r="T377" s="1" t="s">
        <v>32</v>
      </c>
      <c r="U377" s="1" t="s">
        <v>32</v>
      </c>
      <c r="V377">
        <v>1944480</v>
      </c>
      <c r="W377" s="1" t="s">
        <v>148</v>
      </c>
      <c r="X377" s="1" t="s">
        <v>28</v>
      </c>
      <c r="AA377" s="1" t="s">
        <v>153</v>
      </c>
    </row>
    <row r="378" spans="1:28" x14ac:dyDescent="0.35">
      <c r="A378" t="str">
        <f>VLOOKUP(F378,'[1]Trans Pte X Contabilizar'!$A:$B,2,FALSE)</f>
        <v>USSA - DIANA DAVILA</v>
      </c>
      <c r="C378" s="1" t="s">
        <v>150</v>
      </c>
      <c r="D378" s="11">
        <v>74445.14</v>
      </c>
      <c r="E378" s="1" t="s">
        <v>147</v>
      </c>
      <c r="F378">
        <v>41274</v>
      </c>
      <c r="G378" s="2">
        <v>45986</v>
      </c>
      <c r="H378" s="1" t="s">
        <v>28</v>
      </c>
      <c r="I378" s="1" t="s">
        <v>28</v>
      </c>
      <c r="J378">
        <v>6</v>
      </c>
      <c r="K378" s="1" t="s">
        <v>151</v>
      </c>
      <c r="L378" s="1" t="s">
        <v>28</v>
      </c>
      <c r="O378" s="1" t="s">
        <v>28</v>
      </c>
      <c r="P378" s="1" t="s">
        <v>152</v>
      </c>
      <c r="Q378" s="1" t="s">
        <v>31</v>
      </c>
      <c r="R378" s="1" t="s">
        <v>28</v>
      </c>
      <c r="S378" s="1" t="s">
        <v>28</v>
      </c>
      <c r="T378" s="1" t="s">
        <v>32</v>
      </c>
      <c r="U378" s="1" t="s">
        <v>32</v>
      </c>
      <c r="V378">
        <v>1944480</v>
      </c>
      <c r="W378" s="1" t="s">
        <v>148</v>
      </c>
      <c r="X378" s="1" t="s">
        <v>28</v>
      </c>
      <c r="AA378" s="1" t="s">
        <v>153</v>
      </c>
    </row>
    <row r="379" spans="1:28" x14ac:dyDescent="0.35">
      <c r="A379" t="str">
        <f>VLOOKUP(F379,'[1]Trans Pte X Contabilizar'!$A:$B,2,FALSE)</f>
        <v>USSA - DIANA DAVILA</v>
      </c>
      <c r="C379" s="1" t="s">
        <v>150</v>
      </c>
      <c r="D379" s="11">
        <v>396848.11</v>
      </c>
      <c r="E379" s="1" t="s">
        <v>147</v>
      </c>
      <c r="F379">
        <v>41274</v>
      </c>
      <c r="G379" s="2">
        <v>45986</v>
      </c>
      <c r="H379" s="1" t="s">
        <v>28</v>
      </c>
      <c r="I379" s="1" t="s">
        <v>28</v>
      </c>
      <c r="J379">
        <v>8</v>
      </c>
      <c r="K379" s="1" t="s">
        <v>151</v>
      </c>
      <c r="L379" s="1" t="s">
        <v>28</v>
      </c>
      <c r="O379" s="1" t="s">
        <v>28</v>
      </c>
      <c r="P379" s="1" t="s">
        <v>154</v>
      </c>
      <c r="Q379" s="1" t="s">
        <v>31</v>
      </c>
      <c r="R379" s="1" t="s">
        <v>28</v>
      </c>
      <c r="S379" s="1" t="s">
        <v>28</v>
      </c>
      <c r="T379" s="1" t="s">
        <v>32</v>
      </c>
      <c r="U379" s="1" t="s">
        <v>155</v>
      </c>
      <c r="V379">
        <v>1944480</v>
      </c>
      <c r="W379" s="1" t="s">
        <v>148</v>
      </c>
      <c r="X379" s="1" t="s">
        <v>28</v>
      </c>
      <c r="AA379" s="1" t="s">
        <v>156</v>
      </c>
    </row>
    <row r="380" spans="1:28" x14ac:dyDescent="0.35">
      <c r="A380" t="str">
        <f>VLOOKUP(F380,'[1]Trans Pte X Contabilizar'!$A:$B,2,FALSE)</f>
        <v>USSA - DIANA DAVILA</v>
      </c>
      <c r="C380" s="1" t="s">
        <v>150</v>
      </c>
      <c r="D380" s="11">
        <v>10768.98</v>
      </c>
      <c r="E380" s="1" t="s">
        <v>147</v>
      </c>
      <c r="F380">
        <v>41274</v>
      </c>
      <c r="G380" s="2">
        <v>45986</v>
      </c>
      <c r="H380" s="1" t="s">
        <v>28</v>
      </c>
      <c r="I380" s="1" t="s">
        <v>28</v>
      </c>
      <c r="J380">
        <v>10</v>
      </c>
      <c r="K380" s="1" t="s">
        <v>151</v>
      </c>
      <c r="L380" s="1" t="s">
        <v>28</v>
      </c>
      <c r="O380" s="1" t="s">
        <v>28</v>
      </c>
      <c r="P380" s="1" t="s">
        <v>154</v>
      </c>
      <c r="Q380" s="1" t="s">
        <v>31</v>
      </c>
      <c r="R380" s="1" t="s">
        <v>28</v>
      </c>
      <c r="S380" s="1" t="s">
        <v>28</v>
      </c>
      <c r="T380" s="1" t="s">
        <v>32</v>
      </c>
      <c r="U380" s="1" t="s">
        <v>155</v>
      </c>
      <c r="V380">
        <v>1944480</v>
      </c>
      <c r="W380" s="1" t="s">
        <v>148</v>
      </c>
      <c r="X380" s="1" t="s">
        <v>28</v>
      </c>
      <c r="AA380" s="1" t="s">
        <v>156</v>
      </c>
    </row>
    <row r="381" spans="1:28" x14ac:dyDescent="0.35">
      <c r="A381" t="str">
        <f>VLOOKUP(F381,'[1]Trans Pte X Contabilizar'!$A:$B,2,FALSE)</f>
        <v>USSA - DIANA DAVILA</v>
      </c>
      <c r="C381" s="1" t="s">
        <v>150</v>
      </c>
      <c r="D381" s="11">
        <v>10367.94</v>
      </c>
      <c r="E381" s="1" t="s">
        <v>147</v>
      </c>
      <c r="F381">
        <v>41274</v>
      </c>
      <c r="G381" s="2">
        <v>45986</v>
      </c>
      <c r="H381" s="1" t="s">
        <v>28</v>
      </c>
      <c r="I381" s="1" t="s">
        <v>28</v>
      </c>
      <c r="J381">
        <v>12</v>
      </c>
      <c r="K381" s="1" t="s">
        <v>151</v>
      </c>
      <c r="L381" s="1" t="s">
        <v>28</v>
      </c>
      <c r="O381" s="1" t="s">
        <v>28</v>
      </c>
      <c r="P381" s="1" t="s">
        <v>154</v>
      </c>
      <c r="Q381" s="1" t="s">
        <v>31</v>
      </c>
      <c r="R381" s="1" t="s">
        <v>28</v>
      </c>
      <c r="S381" s="1" t="s">
        <v>28</v>
      </c>
      <c r="T381" s="1" t="s">
        <v>32</v>
      </c>
      <c r="U381" s="1" t="s">
        <v>155</v>
      </c>
      <c r="V381">
        <v>1944480</v>
      </c>
      <c r="W381" s="1" t="s">
        <v>148</v>
      </c>
      <c r="X381" s="1" t="s">
        <v>28</v>
      </c>
      <c r="AA381" s="1" t="s">
        <v>156</v>
      </c>
    </row>
    <row r="382" spans="1:28" x14ac:dyDescent="0.35">
      <c r="A382" t="str">
        <f>VLOOKUP(F382,'[1]Trans Pte X Contabilizar'!$A:$B,2,FALSE)</f>
        <v>USSA - DIANA DAVILA</v>
      </c>
      <c r="C382" s="1" t="s">
        <v>150</v>
      </c>
      <c r="D382" s="11">
        <v>103641.87</v>
      </c>
      <c r="E382" s="1" t="s">
        <v>147</v>
      </c>
      <c r="F382">
        <v>41274</v>
      </c>
      <c r="G382" s="2">
        <v>45986</v>
      </c>
      <c r="H382" s="1" t="s">
        <v>28</v>
      </c>
      <c r="I382" s="1" t="s">
        <v>28</v>
      </c>
      <c r="J382">
        <v>14</v>
      </c>
      <c r="K382" s="1" t="s">
        <v>151</v>
      </c>
      <c r="L382" s="1" t="s">
        <v>28</v>
      </c>
      <c r="O382" s="1" t="s">
        <v>28</v>
      </c>
      <c r="P382" s="1" t="s">
        <v>154</v>
      </c>
      <c r="Q382" s="1" t="s">
        <v>31</v>
      </c>
      <c r="R382" s="1" t="s">
        <v>28</v>
      </c>
      <c r="S382" s="1" t="s">
        <v>28</v>
      </c>
      <c r="T382" s="1" t="s">
        <v>32</v>
      </c>
      <c r="U382" s="1" t="s">
        <v>155</v>
      </c>
      <c r="V382">
        <v>1944480</v>
      </c>
      <c r="W382" s="1" t="s">
        <v>148</v>
      </c>
      <c r="X382" s="1" t="s">
        <v>28</v>
      </c>
      <c r="AA382" s="1" t="s">
        <v>156</v>
      </c>
    </row>
    <row r="383" spans="1:28" x14ac:dyDescent="0.35">
      <c r="A383" t="str">
        <f>VLOOKUP(F383,'[1]Trans Pte X Contabilizar'!$A:$B,2,FALSE)</f>
        <v>USSA - DIANA DAVILA</v>
      </c>
      <c r="C383" s="1" t="s">
        <v>150</v>
      </c>
      <c r="D383" s="11">
        <v>18302.150000000001</v>
      </c>
      <c r="E383" s="1" t="s">
        <v>147</v>
      </c>
      <c r="F383">
        <v>41274</v>
      </c>
      <c r="G383" s="2">
        <v>45986</v>
      </c>
      <c r="H383" s="1" t="s">
        <v>28</v>
      </c>
      <c r="I383" s="1" t="s">
        <v>28</v>
      </c>
      <c r="J383">
        <v>16</v>
      </c>
      <c r="K383" s="1" t="s">
        <v>151</v>
      </c>
      <c r="L383" s="1" t="s">
        <v>28</v>
      </c>
      <c r="O383" s="1" t="s">
        <v>28</v>
      </c>
      <c r="P383" s="1" t="s">
        <v>154</v>
      </c>
      <c r="Q383" s="1" t="s">
        <v>31</v>
      </c>
      <c r="R383" s="1" t="s">
        <v>28</v>
      </c>
      <c r="S383" s="1" t="s">
        <v>28</v>
      </c>
      <c r="T383" s="1" t="s">
        <v>32</v>
      </c>
      <c r="U383" s="1" t="s">
        <v>155</v>
      </c>
      <c r="V383">
        <v>1944480</v>
      </c>
      <c r="W383" s="1" t="s">
        <v>148</v>
      </c>
      <c r="X383" s="1" t="s">
        <v>28</v>
      </c>
      <c r="AA383" s="1" t="s">
        <v>156</v>
      </c>
    </row>
    <row r="384" spans="1:28" x14ac:dyDescent="0.35">
      <c r="A384" t="str">
        <f>VLOOKUP(F384,'[1]Trans Pte X Contabilizar'!$A:$B,2,FALSE)</f>
        <v>USSA - DIANA DAVILA</v>
      </c>
      <c r="C384" s="1" t="s">
        <v>150</v>
      </c>
      <c r="D384" s="11">
        <v>2857.93</v>
      </c>
      <c r="E384" s="1" t="s">
        <v>147</v>
      </c>
      <c r="F384">
        <v>41274</v>
      </c>
      <c r="G384" s="2">
        <v>45986</v>
      </c>
      <c r="H384" s="1" t="s">
        <v>28</v>
      </c>
      <c r="I384" s="1" t="s">
        <v>28</v>
      </c>
      <c r="J384">
        <v>18</v>
      </c>
      <c r="K384" s="1" t="s">
        <v>151</v>
      </c>
      <c r="L384" s="1" t="s">
        <v>28</v>
      </c>
      <c r="O384" s="1" t="s">
        <v>28</v>
      </c>
      <c r="P384" s="1" t="s">
        <v>154</v>
      </c>
      <c r="Q384" s="1" t="s">
        <v>31</v>
      </c>
      <c r="R384" s="1" t="s">
        <v>28</v>
      </c>
      <c r="S384" s="1" t="s">
        <v>28</v>
      </c>
      <c r="T384" s="1" t="s">
        <v>32</v>
      </c>
      <c r="U384" s="1" t="s">
        <v>155</v>
      </c>
      <c r="V384">
        <v>1944480</v>
      </c>
      <c r="W384" s="1" t="s">
        <v>148</v>
      </c>
      <c r="X384" s="1" t="s">
        <v>28</v>
      </c>
      <c r="AA384" s="1" t="s">
        <v>156</v>
      </c>
    </row>
    <row r="385" spans="1:27" x14ac:dyDescent="0.35">
      <c r="A385" t="str">
        <f>VLOOKUP(F385,'[1]Trans Pte X Contabilizar'!$A:$B,2,FALSE)</f>
        <v>USSA - DIANA DAVILA</v>
      </c>
      <c r="C385" s="1" t="s">
        <v>150</v>
      </c>
      <c r="D385" s="11">
        <v>1409.74</v>
      </c>
      <c r="E385" s="1" t="s">
        <v>147</v>
      </c>
      <c r="F385">
        <v>41274</v>
      </c>
      <c r="G385" s="2">
        <v>45986</v>
      </c>
      <c r="H385" s="1" t="s">
        <v>28</v>
      </c>
      <c r="I385" s="1" t="s">
        <v>28</v>
      </c>
      <c r="J385">
        <v>20</v>
      </c>
      <c r="K385" s="1" t="s">
        <v>151</v>
      </c>
      <c r="L385" s="1" t="s">
        <v>28</v>
      </c>
      <c r="O385" s="1" t="s">
        <v>28</v>
      </c>
      <c r="P385" s="1" t="s">
        <v>154</v>
      </c>
      <c r="Q385" s="1" t="s">
        <v>31</v>
      </c>
      <c r="R385" s="1" t="s">
        <v>28</v>
      </c>
      <c r="S385" s="1" t="s">
        <v>28</v>
      </c>
      <c r="T385" s="1" t="s">
        <v>32</v>
      </c>
      <c r="U385" s="1" t="s">
        <v>155</v>
      </c>
      <c r="V385">
        <v>1944480</v>
      </c>
      <c r="W385" s="1" t="s">
        <v>148</v>
      </c>
      <c r="X385" s="1" t="s">
        <v>28</v>
      </c>
      <c r="AA385" s="1" t="s">
        <v>156</v>
      </c>
    </row>
    <row r="386" spans="1:27" x14ac:dyDescent="0.35">
      <c r="A386" t="str">
        <f>VLOOKUP(F386,'[1]Trans Pte X Contabilizar'!$A:$B,2,FALSE)</f>
        <v>USSA - DIANA DAVILA</v>
      </c>
      <c r="C386" s="1" t="s">
        <v>150</v>
      </c>
      <c r="D386" s="11">
        <v>10763.74</v>
      </c>
      <c r="E386" s="1" t="s">
        <v>147</v>
      </c>
      <c r="F386">
        <v>41274</v>
      </c>
      <c r="G386" s="2">
        <v>45986</v>
      </c>
      <c r="H386" s="1" t="s">
        <v>28</v>
      </c>
      <c r="I386" s="1" t="s">
        <v>28</v>
      </c>
      <c r="J386">
        <v>22</v>
      </c>
      <c r="K386" s="1" t="s">
        <v>151</v>
      </c>
      <c r="L386" s="1" t="s">
        <v>28</v>
      </c>
      <c r="O386" s="1" t="s">
        <v>28</v>
      </c>
      <c r="P386" s="1" t="s">
        <v>154</v>
      </c>
      <c r="Q386" s="1" t="s">
        <v>31</v>
      </c>
      <c r="R386" s="1" t="s">
        <v>28</v>
      </c>
      <c r="S386" s="1" t="s">
        <v>28</v>
      </c>
      <c r="T386" s="1" t="s">
        <v>32</v>
      </c>
      <c r="U386" s="1" t="s">
        <v>155</v>
      </c>
      <c r="V386">
        <v>1944480</v>
      </c>
      <c r="W386" s="1" t="s">
        <v>148</v>
      </c>
      <c r="X386" s="1" t="s">
        <v>28</v>
      </c>
      <c r="AA386" s="1" t="s">
        <v>156</v>
      </c>
    </row>
    <row r="387" spans="1:27" x14ac:dyDescent="0.35">
      <c r="A387" t="str">
        <f>VLOOKUP(F387,'[1]Trans Pte X Contabilizar'!$A:$B,2,FALSE)</f>
        <v>USSA - DIANA DAVILA</v>
      </c>
      <c r="C387" s="1" t="s">
        <v>150</v>
      </c>
      <c r="D387" s="11">
        <v>45610.57</v>
      </c>
      <c r="E387" s="1" t="s">
        <v>147</v>
      </c>
      <c r="F387">
        <v>41274</v>
      </c>
      <c r="G387" s="2">
        <v>45986</v>
      </c>
      <c r="H387" s="1" t="s">
        <v>28</v>
      </c>
      <c r="I387" s="1" t="s">
        <v>28</v>
      </c>
      <c r="J387">
        <v>24</v>
      </c>
      <c r="K387" s="1" t="s">
        <v>151</v>
      </c>
      <c r="L387" s="1" t="s">
        <v>28</v>
      </c>
      <c r="O387" s="1" t="s">
        <v>28</v>
      </c>
      <c r="P387" s="1" t="s">
        <v>154</v>
      </c>
      <c r="Q387" s="1" t="s">
        <v>31</v>
      </c>
      <c r="R387" s="1" t="s">
        <v>28</v>
      </c>
      <c r="S387" s="1" t="s">
        <v>28</v>
      </c>
      <c r="T387" s="1" t="s">
        <v>32</v>
      </c>
      <c r="U387" s="1" t="s">
        <v>155</v>
      </c>
      <c r="V387">
        <v>1944480</v>
      </c>
      <c r="W387" s="1" t="s">
        <v>148</v>
      </c>
      <c r="X387" s="1" t="s">
        <v>28</v>
      </c>
      <c r="AA387" s="1" t="s">
        <v>156</v>
      </c>
    </row>
    <row r="388" spans="1:27" x14ac:dyDescent="0.35">
      <c r="A388" t="str">
        <f>VLOOKUP(F388,'[1]Trans Pte X Contabilizar'!$A:$B,2,FALSE)</f>
        <v>USSA - DIANA DAVILA</v>
      </c>
      <c r="C388" s="1" t="s">
        <v>150</v>
      </c>
      <c r="D388" s="11">
        <v>121041.92</v>
      </c>
      <c r="E388" s="1" t="s">
        <v>147</v>
      </c>
      <c r="F388">
        <v>41274</v>
      </c>
      <c r="G388" s="2">
        <v>45986</v>
      </c>
      <c r="H388" s="1" t="s">
        <v>28</v>
      </c>
      <c r="I388" s="1" t="s">
        <v>28</v>
      </c>
      <c r="J388">
        <v>26</v>
      </c>
      <c r="K388" s="1" t="s">
        <v>151</v>
      </c>
      <c r="L388" s="1" t="s">
        <v>28</v>
      </c>
      <c r="O388" s="1" t="s">
        <v>28</v>
      </c>
      <c r="P388" s="1" t="s">
        <v>154</v>
      </c>
      <c r="Q388" s="1" t="s">
        <v>31</v>
      </c>
      <c r="R388" s="1" t="s">
        <v>28</v>
      </c>
      <c r="S388" s="1" t="s">
        <v>28</v>
      </c>
      <c r="T388" s="1" t="s">
        <v>32</v>
      </c>
      <c r="U388" s="1" t="s">
        <v>155</v>
      </c>
      <c r="V388">
        <v>1944480</v>
      </c>
      <c r="W388" s="1" t="s">
        <v>148</v>
      </c>
      <c r="X388" s="1" t="s">
        <v>28</v>
      </c>
      <c r="AA388" s="1" t="s">
        <v>156</v>
      </c>
    </row>
    <row r="389" spans="1:27" x14ac:dyDescent="0.35">
      <c r="A389" t="str">
        <f>VLOOKUP(F389,'[1]Trans Pte X Contabilizar'!$A:$B,2,FALSE)</f>
        <v>USSA - DIANA DAVILA</v>
      </c>
      <c r="C389" s="1" t="s">
        <v>150</v>
      </c>
      <c r="D389" s="11">
        <v>110805.69</v>
      </c>
      <c r="E389" s="1" t="s">
        <v>147</v>
      </c>
      <c r="F389">
        <v>41274</v>
      </c>
      <c r="G389" s="2">
        <v>45986</v>
      </c>
      <c r="H389" s="1" t="s">
        <v>28</v>
      </c>
      <c r="I389" s="1" t="s">
        <v>28</v>
      </c>
      <c r="J389">
        <v>28</v>
      </c>
      <c r="K389" s="1" t="s">
        <v>151</v>
      </c>
      <c r="L389" s="1" t="s">
        <v>28</v>
      </c>
      <c r="O389" s="1" t="s">
        <v>28</v>
      </c>
      <c r="P389" s="1" t="s">
        <v>154</v>
      </c>
      <c r="Q389" s="1" t="s">
        <v>31</v>
      </c>
      <c r="R389" s="1" t="s">
        <v>28</v>
      </c>
      <c r="S389" s="1" t="s">
        <v>28</v>
      </c>
      <c r="T389" s="1" t="s">
        <v>32</v>
      </c>
      <c r="U389" s="1" t="s">
        <v>155</v>
      </c>
      <c r="V389">
        <v>1944480</v>
      </c>
      <c r="W389" s="1" t="s">
        <v>148</v>
      </c>
      <c r="X389" s="1" t="s">
        <v>28</v>
      </c>
      <c r="AA389" s="1" t="s">
        <v>156</v>
      </c>
    </row>
    <row r="390" spans="1:27" x14ac:dyDescent="0.35">
      <c r="A390" t="str">
        <f>VLOOKUP(F390,'[1]Trans Pte X Contabilizar'!$A:$B,2,FALSE)</f>
        <v>USSA - DIANA DAVILA</v>
      </c>
      <c r="C390" s="1" t="s">
        <v>150</v>
      </c>
      <c r="D390" s="11">
        <v>21912.78</v>
      </c>
      <c r="E390" s="1" t="s">
        <v>147</v>
      </c>
      <c r="F390">
        <v>41274</v>
      </c>
      <c r="G390" s="2">
        <v>45986</v>
      </c>
      <c r="H390" s="1" t="s">
        <v>28</v>
      </c>
      <c r="I390" s="1" t="s">
        <v>28</v>
      </c>
      <c r="J390">
        <v>30</v>
      </c>
      <c r="K390" s="1" t="s">
        <v>151</v>
      </c>
      <c r="L390" s="1" t="s">
        <v>28</v>
      </c>
      <c r="O390" s="1" t="s">
        <v>28</v>
      </c>
      <c r="P390" s="1" t="s">
        <v>154</v>
      </c>
      <c r="Q390" s="1" t="s">
        <v>31</v>
      </c>
      <c r="R390" s="1" t="s">
        <v>28</v>
      </c>
      <c r="S390" s="1" t="s">
        <v>28</v>
      </c>
      <c r="T390" s="1" t="s">
        <v>32</v>
      </c>
      <c r="U390" s="1" t="s">
        <v>155</v>
      </c>
      <c r="V390">
        <v>1944480</v>
      </c>
      <c r="W390" s="1" t="s">
        <v>148</v>
      </c>
      <c r="X390" s="1" t="s">
        <v>28</v>
      </c>
      <c r="AA390" s="1" t="s">
        <v>156</v>
      </c>
    </row>
    <row r="391" spans="1:27" x14ac:dyDescent="0.35">
      <c r="A391" t="str">
        <f>VLOOKUP(F391,'[1]Trans Pte X Contabilizar'!$A:$B,2,FALSE)</f>
        <v>USSA - DIANA DAVILA</v>
      </c>
      <c r="C391" s="1" t="s">
        <v>150</v>
      </c>
      <c r="D391" s="11">
        <v>25375.97</v>
      </c>
      <c r="E391" s="1" t="s">
        <v>147</v>
      </c>
      <c r="F391">
        <v>41274</v>
      </c>
      <c r="G391" s="2">
        <v>45986</v>
      </c>
      <c r="H391" s="1" t="s">
        <v>28</v>
      </c>
      <c r="I391" s="1" t="s">
        <v>28</v>
      </c>
      <c r="J391">
        <v>32</v>
      </c>
      <c r="K391" s="1" t="s">
        <v>151</v>
      </c>
      <c r="L391" s="1" t="s">
        <v>28</v>
      </c>
      <c r="O391" s="1" t="s">
        <v>28</v>
      </c>
      <c r="P391" s="1" t="s">
        <v>154</v>
      </c>
      <c r="Q391" s="1" t="s">
        <v>31</v>
      </c>
      <c r="R391" s="1" t="s">
        <v>28</v>
      </c>
      <c r="S391" s="1" t="s">
        <v>28</v>
      </c>
      <c r="T391" s="1" t="s">
        <v>32</v>
      </c>
      <c r="U391" s="1" t="s">
        <v>155</v>
      </c>
      <c r="V391">
        <v>1944480</v>
      </c>
      <c r="W391" s="1" t="s">
        <v>148</v>
      </c>
      <c r="X391" s="1" t="s">
        <v>28</v>
      </c>
      <c r="AA391" s="1" t="s">
        <v>156</v>
      </c>
    </row>
    <row r="392" spans="1:27" x14ac:dyDescent="0.35">
      <c r="A392" t="str">
        <f>VLOOKUP(F392,'[1]Trans Pte X Contabilizar'!$A:$B,2,FALSE)</f>
        <v>USSA - DIANA DAVILA</v>
      </c>
      <c r="C392" s="1" t="s">
        <v>150</v>
      </c>
      <c r="D392" s="11">
        <v>65383.18</v>
      </c>
      <c r="E392" s="1" t="s">
        <v>147</v>
      </c>
      <c r="F392">
        <v>41274</v>
      </c>
      <c r="G392" s="2">
        <v>45986</v>
      </c>
      <c r="H392" s="1" t="s">
        <v>28</v>
      </c>
      <c r="I392" s="1" t="s">
        <v>28</v>
      </c>
      <c r="J392">
        <v>34</v>
      </c>
      <c r="K392" s="1" t="s">
        <v>151</v>
      </c>
      <c r="L392" s="1" t="s">
        <v>28</v>
      </c>
      <c r="O392" s="1" t="s">
        <v>28</v>
      </c>
      <c r="P392" s="1" t="s">
        <v>154</v>
      </c>
      <c r="Q392" s="1" t="s">
        <v>31</v>
      </c>
      <c r="R392" s="1" t="s">
        <v>28</v>
      </c>
      <c r="S392" s="1" t="s">
        <v>28</v>
      </c>
      <c r="T392" s="1" t="s">
        <v>32</v>
      </c>
      <c r="U392" s="1" t="s">
        <v>155</v>
      </c>
      <c r="V392">
        <v>1944480</v>
      </c>
      <c r="W392" s="1" t="s">
        <v>148</v>
      </c>
      <c r="X392" s="1" t="s">
        <v>28</v>
      </c>
      <c r="AA392" s="1" t="s">
        <v>156</v>
      </c>
    </row>
    <row r="393" spans="1:27" x14ac:dyDescent="0.35">
      <c r="A393" t="str">
        <f>VLOOKUP(F393,'[1]Trans Pte X Contabilizar'!$A:$B,2,FALSE)</f>
        <v>USSA - DIANA DAVILA</v>
      </c>
      <c r="C393" s="1" t="s">
        <v>150</v>
      </c>
      <c r="D393" s="11">
        <v>110805.69</v>
      </c>
      <c r="E393" s="1" t="s">
        <v>147</v>
      </c>
      <c r="F393">
        <v>41274</v>
      </c>
      <c r="G393" s="2">
        <v>45986</v>
      </c>
      <c r="H393" s="1" t="s">
        <v>28</v>
      </c>
      <c r="I393" s="1" t="s">
        <v>28</v>
      </c>
      <c r="J393">
        <v>36</v>
      </c>
      <c r="K393" s="1" t="s">
        <v>151</v>
      </c>
      <c r="L393" s="1" t="s">
        <v>28</v>
      </c>
      <c r="O393" s="1" t="s">
        <v>28</v>
      </c>
      <c r="P393" s="1" t="s">
        <v>154</v>
      </c>
      <c r="Q393" s="1" t="s">
        <v>31</v>
      </c>
      <c r="R393" s="1" t="s">
        <v>28</v>
      </c>
      <c r="S393" s="1" t="s">
        <v>28</v>
      </c>
      <c r="T393" s="1" t="s">
        <v>32</v>
      </c>
      <c r="U393" s="1" t="s">
        <v>155</v>
      </c>
      <c r="V393">
        <v>1944480</v>
      </c>
      <c r="W393" s="1" t="s">
        <v>148</v>
      </c>
      <c r="X393" s="1" t="s">
        <v>28</v>
      </c>
      <c r="AA393" s="1" t="s">
        <v>156</v>
      </c>
    </row>
    <row r="394" spans="1:27" x14ac:dyDescent="0.35">
      <c r="A394" t="str">
        <f>VLOOKUP(F394,'[1]Trans Pte X Contabilizar'!$A:$B,2,FALSE)</f>
        <v>USSA - DIANA DAVILA</v>
      </c>
      <c r="C394" s="1" t="s">
        <v>150</v>
      </c>
      <c r="D394" s="11">
        <v>28876.3</v>
      </c>
      <c r="E394" s="1" t="s">
        <v>147</v>
      </c>
      <c r="F394">
        <v>41274</v>
      </c>
      <c r="G394" s="2">
        <v>45986</v>
      </c>
      <c r="H394" s="1" t="s">
        <v>28</v>
      </c>
      <c r="I394" s="1" t="s">
        <v>28</v>
      </c>
      <c r="J394">
        <v>38</v>
      </c>
      <c r="K394" s="1" t="s">
        <v>151</v>
      </c>
      <c r="L394" s="1" t="s">
        <v>28</v>
      </c>
      <c r="O394" s="1" t="s">
        <v>28</v>
      </c>
      <c r="P394" s="1" t="s">
        <v>154</v>
      </c>
      <c r="Q394" s="1" t="s">
        <v>31</v>
      </c>
      <c r="R394" s="1" t="s">
        <v>28</v>
      </c>
      <c r="S394" s="1" t="s">
        <v>28</v>
      </c>
      <c r="T394" s="1" t="s">
        <v>32</v>
      </c>
      <c r="U394" s="1" t="s">
        <v>155</v>
      </c>
      <c r="V394">
        <v>1944480</v>
      </c>
      <c r="W394" s="1" t="s">
        <v>148</v>
      </c>
      <c r="X394" s="1" t="s">
        <v>28</v>
      </c>
      <c r="AA394" s="1" t="s">
        <v>156</v>
      </c>
    </row>
    <row r="395" spans="1:27" x14ac:dyDescent="0.35">
      <c r="A395" t="str">
        <f>VLOOKUP(F395,'[1]Trans Pte X Contabilizar'!$A:$B,2,FALSE)</f>
        <v>USSA - DIANA DAVILA</v>
      </c>
      <c r="C395" s="1" t="s">
        <v>150</v>
      </c>
      <c r="D395" s="11">
        <v>6263.88</v>
      </c>
      <c r="E395" s="1" t="s">
        <v>147</v>
      </c>
      <c r="F395">
        <v>41274</v>
      </c>
      <c r="G395" s="2">
        <v>45986</v>
      </c>
      <c r="H395" s="1" t="s">
        <v>28</v>
      </c>
      <c r="I395" s="1" t="s">
        <v>28</v>
      </c>
      <c r="J395">
        <v>40</v>
      </c>
      <c r="K395" s="1" t="s">
        <v>151</v>
      </c>
      <c r="L395" s="1" t="s">
        <v>28</v>
      </c>
      <c r="O395" s="1" t="s">
        <v>28</v>
      </c>
      <c r="P395" s="1" t="s">
        <v>154</v>
      </c>
      <c r="Q395" s="1" t="s">
        <v>31</v>
      </c>
      <c r="R395" s="1" t="s">
        <v>28</v>
      </c>
      <c r="S395" s="1" t="s">
        <v>28</v>
      </c>
      <c r="T395" s="1" t="s">
        <v>32</v>
      </c>
      <c r="U395" s="1" t="s">
        <v>155</v>
      </c>
      <c r="V395">
        <v>1944480</v>
      </c>
      <c r="W395" s="1" t="s">
        <v>148</v>
      </c>
      <c r="X395" s="1" t="s">
        <v>28</v>
      </c>
      <c r="AA395" s="1" t="s">
        <v>156</v>
      </c>
    </row>
    <row r="396" spans="1:27" x14ac:dyDescent="0.35">
      <c r="A396" t="str">
        <f>VLOOKUP(F396,'[1]Trans Pte X Contabilizar'!$A:$B,2,FALSE)</f>
        <v>USSA - DIANA DAVILA</v>
      </c>
      <c r="C396" s="1" t="s">
        <v>150</v>
      </c>
      <c r="D396" s="11">
        <v>6592.62</v>
      </c>
      <c r="E396" s="1" t="s">
        <v>147</v>
      </c>
      <c r="F396">
        <v>41274</v>
      </c>
      <c r="G396" s="2">
        <v>45986</v>
      </c>
      <c r="H396" s="1" t="s">
        <v>28</v>
      </c>
      <c r="I396" s="1" t="s">
        <v>28</v>
      </c>
      <c r="J396">
        <v>42</v>
      </c>
      <c r="K396" s="1" t="s">
        <v>151</v>
      </c>
      <c r="L396" s="1" t="s">
        <v>28</v>
      </c>
      <c r="O396" s="1" t="s">
        <v>28</v>
      </c>
      <c r="P396" s="1" t="s">
        <v>154</v>
      </c>
      <c r="Q396" s="1" t="s">
        <v>31</v>
      </c>
      <c r="R396" s="1" t="s">
        <v>28</v>
      </c>
      <c r="S396" s="1" t="s">
        <v>28</v>
      </c>
      <c r="T396" s="1" t="s">
        <v>32</v>
      </c>
      <c r="U396" s="1" t="s">
        <v>155</v>
      </c>
      <c r="V396">
        <v>1944480</v>
      </c>
      <c r="W396" s="1" t="s">
        <v>148</v>
      </c>
      <c r="X396" s="1" t="s">
        <v>28</v>
      </c>
      <c r="AA396" s="1" t="s">
        <v>156</v>
      </c>
    </row>
    <row r="397" spans="1:27" x14ac:dyDescent="0.35">
      <c r="A397" t="str">
        <f>VLOOKUP(F397,'[1]Trans Pte X Contabilizar'!$A:$B,2,FALSE)</f>
        <v>USSA - DIANA DAVILA</v>
      </c>
      <c r="C397" s="1" t="s">
        <v>150</v>
      </c>
      <c r="D397" s="11">
        <v>7234.36</v>
      </c>
      <c r="E397" s="1" t="s">
        <v>147</v>
      </c>
      <c r="F397">
        <v>41274</v>
      </c>
      <c r="G397" s="2">
        <v>45986</v>
      </c>
      <c r="H397" s="1" t="s">
        <v>28</v>
      </c>
      <c r="I397" s="1" t="s">
        <v>28</v>
      </c>
      <c r="J397">
        <v>44</v>
      </c>
      <c r="K397" s="1" t="s">
        <v>151</v>
      </c>
      <c r="L397" s="1" t="s">
        <v>28</v>
      </c>
      <c r="O397" s="1" t="s">
        <v>28</v>
      </c>
      <c r="P397" s="1" t="s">
        <v>154</v>
      </c>
      <c r="Q397" s="1" t="s">
        <v>31</v>
      </c>
      <c r="R397" s="1" t="s">
        <v>28</v>
      </c>
      <c r="S397" s="1" t="s">
        <v>28</v>
      </c>
      <c r="T397" s="1" t="s">
        <v>32</v>
      </c>
      <c r="U397" s="1" t="s">
        <v>155</v>
      </c>
      <c r="V397">
        <v>1944480</v>
      </c>
      <c r="W397" s="1" t="s">
        <v>148</v>
      </c>
      <c r="X397" s="1" t="s">
        <v>28</v>
      </c>
      <c r="AA397" s="1" t="s">
        <v>156</v>
      </c>
    </row>
    <row r="398" spans="1:27" x14ac:dyDescent="0.35">
      <c r="A398" t="str">
        <f>VLOOKUP(F398,'[1]Trans Pte X Contabilizar'!$A:$B,2,FALSE)</f>
        <v>USSA - DIANA DAVILA</v>
      </c>
      <c r="C398" s="1" t="s">
        <v>157</v>
      </c>
      <c r="D398" s="11">
        <v>57977.57</v>
      </c>
      <c r="E398" s="1" t="s">
        <v>147</v>
      </c>
      <c r="F398">
        <v>41274</v>
      </c>
      <c r="G398" s="2">
        <v>45986</v>
      </c>
      <c r="H398" s="1" t="s">
        <v>28</v>
      </c>
      <c r="I398" s="1" t="s">
        <v>28</v>
      </c>
      <c r="J398">
        <v>46</v>
      </c>
      <c r="K398" s="1" t="s">
        <v>151</v>
      </c>
      <c r="L398" s="1" t="s">
        <v>28</v>
      </c>
      <c r="O398" s="1" t="s">
        <v>28</v>
      </c>
      <c r="P398" s="1" t="s">
        <v>154</v>
      </c>
      <c r="Q398" s="1" t="s">
        <v>31</v>
      </c>
      <c r="R398" s="1" t="s">
        <v>28</v>
      </c>
      <c r="S398" s="1" t="s">
        <v>28</v>
      </c>
      <c r="T398" s="1" t="s">
        <v>32</v>
      </c>
      <c r="U398" s="1" t="s">
        <v>155</v>
      </c>
      <c r="V398">
        <v>1944480</v>
      </c>
      <c r="W398" s="1" t="s">
        <v>148</v>
      </c>
      <c r="X398" s="1" t="s">
        <v>28</v>
      </c>
      <c r="AA398" s="1" t="s">
        <v>156</v>
      </c>
    </row>
    <row r="399" spans="1:27" x14ac:dyDescent="0.35">
      <c r="A399" t="str">
        <f>VLOOKUP(F399,'[1]Trans Pte X Contabilizar'!$A:$B,2,FALSE)</f>
        <v>USSA - DIANA DAVILA</v>
      </c>
      <c r="C399" s="1" t="s">
        <v>150</v>
      </c>
      <c r="D399" s="11">
        <v>397559.75</v>
      </c>
      <c r="E399" s="1" t="s">
        <v>147</v>
      </c>
      <c r="F399">
        <v>41274</v>
      </c>
      <c r="G399" s="2">
        <v>45986</v>
      </c>
      <c r="H399" s="1" t="s">
        <v>28</v>
      </c>
      <c r="I399" s="1" t="s">
        <v>28</v>
      </c>
      <c r="J399">
        <v>48</v>
      </c>
      <c r="K399" s="1" t="s">
        <v>151</v>
      </c>
      <c r="L399" s="1" t="s">
        <v>28</v>
      </c>
      <c r="O399" s="1" t="s">
        <v>28</v>
      </c>
      <c r="P399" s="1" t="s">
        <v>154</v>
      </c>
      <c r="Q399" s="1" t="s">
        <v>31</v>
      </c>
      <c r="R399" s="1" t="s">
        <v>28</v>
      </c>
      <c r="S399" s="1" t="s">
        <v>28</v>
      </c>
      <c r="T399" s="1" t="s">
        <v>32</v>
      </c>
      <c r="U399" s="1" t="s">
        <v>155</v>
      </c>
      <c r="V399">
        <v>1944480</v>
      </c>
      <c r="W399" s="1" t="s">
        <v>148</v>
      </c>
      <c r="X399" s="1" t="s">
        <v>28</v>
      </c>
      <c r="AA399" s="1" t="s">
        <v>156</v>
      </c>
    </row>
    <row r="400" spans="1:27" x14ac:dyDescent="0.35">
      <c r="A400" t="str">
        <f>VLOOKUP(F400,'[1]Trans Pte X Contabilizar'!$A:$B,2,FALSE)</f>
        <v>USSA - DIANA DAVILA</v>
      </c>
      <c r="C400" s="1" t="s">
        <v>150</v>
      </c>
      <c r="D400" s="11">
        <v>2087.96</v>
      </c>
      <c r="E400" s="1" t="s">
        <v>147</v>
      </c>
      <c r="F400">
        <v>41274</v>
      </c>
      <c r="G400" s="2">
        <v>45986</v>
      </c>
      <c r="H400" s="1" t="s">
        <v>28</v>
      </c>
      <c r="I400" s="1" t="s">
        <v>28</v>
      </c>
      <c r="J400">
        <v>50</v>
      </c>
      <c r="K400" s="1" t="s">
        <v>151</v>
      </c>
      <c r="L400" s="1" t="s">
        <v>28</v>
      </c>
      <c r="O400" s="1" t="s">
        <v>28</v>
      </c>
      <c r="P400" s="1" t="s">
        <v>154</v>
      </c>
      <c r="Q400" s="1" t="s">
        <v>31</v>
      </c>
      <c r="R400" s="1" t="s">
        <v>28</v>
      </c>
      <c r="S400" s="1" t="s">
        <v>28</v>
      </c>
      <c r="T400" s="1" t="s">
        <v>32</v>
      </c>
      <c r="U400" s="1" t="s">
        <v>155</v>
      </c>
      <c r="V400">
        <v>1944480</v>
      </c>
      <c r="W400" s="1" t="s">
        <v>148</v>
      </c>
      <c r="X400" s="1" t="s">
        <v>28</v>
      </c>
      <c r="AA400" s="1" t="s">
        <v>156</v>
      </c>
    </row>
    <row r="401" spans="1:27" x14ac:dyDescent="0.35">
      <c r="A401" t="str">
        <f>VLOOKUP(F401,'[1]Trans Pte X Contabilizar'!$A:$B,2,FALSE)</f>
        <v>USSA - DIANA DAVILA</v>
      </c>
      <c r="C401" s="1" t="s">
        <v>150</v>
      </c>
      <c r="D401" s="11">
        <v>298169.81</v>
      </c>
      <c r="E401" s="1" t="s">
        <v>147</v>
      </c>
      <c r="F401">
        <v>41274</v>
      </c>
      <c r="G401" s="2">
        <v>45986</v>
      </c>
      <c r="H401" s="1" t="s">
        <v>28</v>
      </c>
      <c r="I401" s="1" t="s">
        <v>28</v>
      </c>
      <c r="J401">
        <v>52</v>
      </c>
      <c r="K401" s="1" t="s">
        <v>151</v>
      </c>
      <c r="L401" s="1" t="s">
        <v>28</v>
      </c>
      <c r="O401" s="1" t="s">
        <v>28</v>
      </c>
      <c r="P401" s="1" t="s">
        <v>154</v>
      </c>
      <c r="Q401" s="1" t="s">
        <v>31</v>
      </c>
      <c r="R401" s="1" t="s">
        <v>28</v>
      </c>
      <c r="S401" s="1" t="s">
        <v>28</v>
      </c>
      <c r="T401" s="1" t="s">
        <v>32</v>
      </c>
      <c r="U401" s="1" t="s">
        <v>155</v>
      </c>
      <c r="V401">
        <v>1944480</v>
      </c>
      <c r="W401" s="1" t="s">
        <v>148</v>
      </c>
      <c r="X401" s="1" t="s">
        <v>28</v>
      </c>
      <c r="AA401" s="1" t="s">
        <v>156</v>
      </c>
    </row>
    <row r="402" spans="1:27" x14ac:dyDescent="0.35">
      <c r="A402" t="str">
        <f>VLOOKUP(F402,'[1]Trans Pte X Contabilizar'!$A:$B,2,FALSE)</f>
        <v>USSA - FRANCISCO CONTRERAS</v>
      </c>
      <c r="C402" s="1" t="s">
        <v>111</v>
      </c>
      <c r="D402" s="11">
        <v>965409</v>
      </c>
      <c r="E402" s="1" t="s">
        <v>147</v>
      </c>
      <c r="F402">
        <v>41283</v>
      </c>
      <c r="G402" s="2">
        <v>45985</v>
      </c>
      <c r="H402" s="1" t="s">
        <v>28</v>
      </c>
      <c r="I402" s="1" t="s">
        <v>28</v>
      </c>
      <c r="J402">
        <v>2</v>
      </c>
      <c r="K402" s="1" t="s">
        <v>112</v>
      </c>
      <c r="L402" s="1" t="s">
        <v>28</v>
      </c>
      <c r="O402" s="1" t="s">
        <v>28</v>
      </c>
      <c r="P402" s="1" t="s">
        <v>97</v>
      </c>
      <c r="Q402" s="1" t="s">
        <v>31</v>
      </c>
      <c r="R402" s="1" t="s">
        <v>28</v>
      </c>
      <c r="S402" s="1" t="s">
        <v>28</v>
      </c>
      <c r="T402" s="1" t="s">
        <v>32</v>
      </c>
      <c r="U402" s="1" t="s">
        <v>32</v>
      </c>
      <c r="V402">
        <v>1944480</v>
      </c>
      <c r="W402" s="1" t="s">
        <v>148</v>
      </c>
      <c r="X402" s="1" t="s">
        <v>28</v>
      </c>
      <c r="AA402" s="1" t="s">
        <v>113</v>
      </c>
    </row>
    <row r="403" spans="1:27" x14ac:dyDescent="0.35">
      <c r="A403" t="str">
        <f>VLOOKUP(F403,'[1]Trans Pte X Contabilizar'!$A:$B,2,FALSE)</f>
        <v>USSA - FRANCISCO CONTRERAS</v>
      </c>
      <c r="C403" s="1" t="s">
        <v>111</v>
      </c>
      <c r="D403" s="11">
        <v>517923.24</v>
      </c>
      <c r="E403" s="1" t="s">
        <v>147</v>
      </c>
      <c r="F403">
        <v>41283</v>
      </c>
      <c r="G403" s="2">
        <v>45985</v>
      </c>
      <c r="H403" s="1" t="s">
        <v>28</v>
      </c>
      <c r="I403" s="1" t="s">
        <v>28</v>
      </c>
      <c r="J403">
        <v>4</v>
      </c>
      <c r="K403" s="1" t="s">
        <v>112</v>
      </c>
      <c r="L403" s="1" t="s">
        <v>28</v>
      </c>
      <c r="O403" s="1" t="s">
        <v>28</v>
      </c>
      <c r="P403" s="1" t="s">
        <v>97</v>
      </c>
      <c r="Q403" s="1" t="s">
        <v>31</v>
      </c>
      <c r="R403" s="1" t="s">
        <v>28</v>
      </c>
      <c r="S403" s="1" t="s">
        <v>28</v>
      </c>
      <c r="T403" s="1" t="s">
        <v>32</v>
      </c>
      <c r="U403" s="1" t="s">
        <v>32</v>
      </c>
      <c r="V403">
        <v>1944480</v>
      </c>
      <c r="W403" s="1" t="s">
        <v>148</v>
      </c>
      <c r="X403" s="1" t="s">
        <v>28</v>
      </c>
      <c r="AA403" s="1" t="s">
        <v>113</v>
      </c>
    </row>
    <row r="404" spans="1:27" x14ac:dyDescent="0.35">
      <c r="A404" t="str">
        <f>VLOOKUP(F404,'[1]Trans Pte X Contabilizar'!$A:$B,2,FALSE)</f>
        <v>USSA - LAURA ESTEBAN</v>
      </c>
      <c r="C404" s="1" t="s">
        <v>158</v>
      </c>
      <c r="D404" s="11">
        <v>-1441041.53</v>
      </c>
      <c r="E404" s="1" t="s">
        <v>159</v>
      </c>
      <c r="F404">
        <v>1680382</v>
      </c>
      <c r="G404" s="2">
        <v>45966</v>
      </c>
      <c r="H404" s="1" t="s">
        <v>28</v>
      </c>
      <c r="I404" s="1" t="s">
        <v>28</v>
      </c>
      <c r="J404">
        <v>1</v>
      </c>
      <c r="K404" s="1" t="s">
        <v>114</v>
      </c>
      <c r="L404" s="1" t="s">
        <v>28</v>
      </c>
      <c r="N404">
        <v>-1</v>
      </c>
      <c r="O404" s="1" t="s">
        <v>28</v>
      </c>
      <c r="P404" s="1" t="s">
        <v>160</v>
      </c>
      <c r="Q404" s="1" t="s">
        <v>31</v>
      </c>
      <c r="R404" s="1" t="s">
        <v>28</v>
      </c>
      <c r="S404" s="1" t="s">
        <v>28</v>
      </c>
      <c r="T404" s="1" t="s">
        <v>32</v>
      </c>
      <c r="U404" s="1" t="s">
        <v>32</v>
      </c>
      <c r="V404">
        <v>1935475</v>
      </c>
      <c r="W404" s="1" t="s">
        <v>161</v>
      </c>
      <c r="X404" s="1" t="s">
        <v>28</v>
      </c>
      <c r="AA404" s="1" t="s">
        <v>28</v>
      </c>
    </row>
    <row r="405" spans="1:27" x14ac:dyDescent="0.35">
      <c r="A405" t="str">
        <f>VLOOKUP(F405,'[1]Trans Pte X Contabilizar'!$A:$B,2,FALSE)</f>
        <v>USSA - MARIA FERNANDA RIVERA</v>
      </c>
      <c r="C405" s="1" t="s">
        <v>158</v>
      </c>
      <c r="D405" s="11">
        <v>-15000490.109999999</v>
      </c>
      <c r="E405" s="1" t="s">
        <v>159</v>
      </c>
      <c r="F405">
        <v>1680494</v>
      </c>
      <c r="G405" s="2">
        <v>45985</v>
      </c>
      <c r="H405" s="1" t="s">
        <v>28</v>
      </c>
      <c r="I405" s="1" t="s">
        <v>28</v>
      </c>
      <c r="J405">
        <v>1</v>
      </c>
      <c r="K405" s="1" t="s">
        <v>114</v>
      </c>
      <c r="L405" s="1" t="s">
        <v>28</v>
      </c>
      <c r="N405">
        <v>-1</v>
      </c>
      <c r="O405" s="1" t="s">
        <v>28</v>
      </c>
      <c r="P405" s="1" t="s">
        <v>162</v>
      </c>
      <c r="Q405" s="1" t="s">
        <v>31</v>
      </c>
      <c r="R405" s="1" t="s">
        <v>28</v>
      </c>
      <c r="S405" s="1" t="s">
        <v>28</v>
      </c>
      <c r="T405" s="1" t="s">
        <v>32</v>
      </c>
      <c r="U405" s="1" t="s">
        <v>32</v>
      </c>
      <c r="V405">
        <v>1942462</v>
      </c>
      <c r="W405" s="1" t="s">
        <v>161</v>
      </c>
      <c r="X405" s="1" t="s">
        <v>28</v>
      </c>
      <c r="AA405" s="1" t="s">
        <v>28</v>
      </c>
    </row>
    <row r="406" spans="1:27" x14ac:dyDescent="0.35">
      <c r="A406" t="str">
        <f>VLOOKUP(F406,'[1]Trans Pte X Contabilizar'!$A:$B,2,FALSE)</f>
        <v>USSA - MARIA FERNANDA RIVERA</v>
      </c>
      <c r="C406" s="1" t="s">
        <v>163</v>
      </c>
      <c r="D406" s="11">
        <v>-100521822.89</v>
      </c>
      <c r="E406" s="1" t="s">
        <v>159</v>
      </c>
      <c r="F406">
        <v>1680495</v>
      </c>
      <c r="G406" s="2">
        <v>45985</v>
      </c>
      <c r="H406" s="1" t="s">
        <v>28</v>
      </c>
      <c r="I406" s="1" t="s">
        <v>28</v>
      </c>
      <c r="J406">
        <v>1</v>
      </c>
      <c r="K406" s="1" t="s">
        <v>114</v>
      </c>
      <c r="L406" s="1" t="s">
        <v>28</v>
      </c>
      <c r="N406">
        <v>-1</v>
      </c>
      <c r="O406" s="1" t="s">
        <v>28</v>
      </c>
      <c r="P406" s="1" t="s">
        <v>58</v>
      </c>
      <c r="Q406" s="1" t="s">
        <v>31</v>
      </c>
      <c r="R406" s="1" t="s">
        <v>28</v>
      </c>
      <c r="S406" s="1" t="s">
        <v>28</v>
      </c>
      <c r="T406" s="1" t="s">
        <v>32</v>
      </c>
      <c r="U406" s="1" t="s">
        <v>32</v>
      </c>
      <c r="V406">
        <v>1942462</v>
      </c>
      <c r="W406" s="1" t="s">
        <v>161</v>
      </c>
      <c r="X406" s="1" t="s">
        <v>28</v>
      </c>
      <c r="AA406" s="1" t="s">
        <v>28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Trans. Pte x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LIBIA STELLA LACHE HERAZO</cp:lastModifiedBy>
  <dcterms:created xsi:type="dcterms:W3CDTF">2025-12-01T15:45:13Z</dcterms:created>
  <dcterms:modified xsi:type="dcterms:W3CDTF">2025-12-01T15:45:23Z</dcterms:modified>
</cp:coreProperties>
</file>