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943A1087-748F-4E93-B13E-2A14DC10A4B5}" xr6:coauthVersionLast="47" xr6:coauthVersionMax="47" xr10:uidLastSave="{00000000-0000-0000-0000-000000000000}"/>
  <bookViews>
    <workbookView xWindow="-110" yWindow="-110" windowWidth="19420" windowHeight="11500" xr2:uid="{4ECED596-9839-475A-A294-344E3ADAA049}"/>
  </bookViews>
  <sheets>
    <sheet name="TD" sheetId="2" r:id="rId1"/>
    <sheet name="Trans. Pte X Contabilizar" sheetId="1" r:id="rId2"/>
  </sheets>
  <definedNames>
    <definedName name="_xlnm._FilterDatabase" localSheetId="1" hidden="1">'Trans. Pte X Contabilizar'!$A$1:$AB$37</definedName>
  </definedNames>
  <calcPr calcId="0"/>
  <pivotCaches>
    <pivotCache cacheId="22" r:id="rId3"/>
  </pivotCaches>
</workbook>
</file>

<file path=xl/sharedStrings.xml><?xml version="1.0" encoding="utf-8"?>
<sst xmlns="http://schemas.openxmlformats.org/spreadsheetml/2006/main" count="705" uniqueCount="54">
  <si>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</si>
  <si>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</si>
  <si>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</si>
  <si>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</si>
  <si>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</si>
  <si>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</si>
  <si>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</si>
  <si>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</si>
  <si>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</si>
  <si>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</si>
  <si>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</si>
  <si>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</si>
  <si>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</si>
  <si>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</si>
  <si>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</si>
  <si>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</si>
  <si>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</si>
  <si>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</si>
  <si>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</si>
  <si>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</si>
  <si>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</si>
  <si>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</si>
  <si>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</si>
  <si>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</si>
  <si>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</si>
  <si>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</si>
  <si>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Distrib.Preactivo-Act.Operativ</t>
  </si>
  <si>
    <t>AT</t>
  </si>
  <si>
    <t xml:space="preserve"> </t>
  </si>
  <si>
    <t>División de A/F</t>
  </si>
  <si>
    <t>331EXPREPRIC.161505.02051023</t>
  </si>
  <si>
    <t>FH</t>
  </si>
  <si>
    <t>00533</t>
  </si>
  <si>
    <t>G</t>
  </si>
  <si>
    <t xml:space="preserve">        0533.165002.02010101</t>
  </si>
  <si>
    <t>331EXPRESECC.161505.02041023</t>
  </si>
  <si>
    <t>CUCUTA</t>
  </si>
  <si>
    <t>OV</t>
  </si>
  <si>
    <t>ENGINEERING DEVELOPMENT AND TO</t>
  </si>
  <si>
    <t xml:space="preserve">        0533.165008.02300170</t>
  </si>
  <si>
    <t>00104248</t>
  </si>
  <si>
    <t>Sardinata</t>
  </si>
  <si>
    <t>FORESTAL CONSULTORES SAS</t>
  </si>
  <si>
    <t>00104417</t>
  </si>
  <si>
    <t>Cúcuta</t>
  </si>
  <si>
    <t>00104595</t>
  </si>
  <si>
    <t>PV</t>
  </si>
  <si>
    <t>RESPONSABLE</t>
  </si>
  <si>
    <t>DISTRIBUCIÓN</t>
  </si>
  <si>
    <t>PROYECTOS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</si>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</sst>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  <xf numFmtId="43" fontId="18" fillId="0" borderId="0" xfId="1" applyFont="1" applyFill="1" applyBorder="1" applyAlignment="1" applyProtection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1.550501504629" createdVersion="8" refreshedVersion="8" minRefreshableVersion="3" recordCount="36" xr:uid="{AFE74A1C-DFE1-4881-8A68-932D70F3B33C}">
  <cacheSource type="worksheet">
    <worksheetSource name="Tabla1"/>
  </cacheSource>
  <cacheFields count="28">
    <cacheField name="RESPONSABLE" numFmtId="0">
      <sharedItems count="2">
        <s v="DISTRIBUCIÓN"/>
        <s v="PROYECTOS"/>
      </sharedItems>
    </cacheField>
    <cacheField name="Número activo" numFmtId="0">
      <sharedItems containsString="0" containsBlank="1" containsNumber="1" containsInteger="1" minValue="260227" maxValue="439941"/>
    </cacheField>
    <cacheField name="Explicación" numFmtId="49">
      <sharedItems/>
    </cacheField>
    <cacheField name="Importe                     " numFmtId="43">
      <sharedItems containsSemiMixedTypes="0" containsString="0" containsNumber="1" minValue="-10477589.880000001" maxValue="26371330"/>
    </cacheField>
    <cacheField name="Tipo doc" numFmtId="49">
      <sharedItems count="3">
        <s v="AT"/>
        <s v="OV"/>
        <s v="PV"/>
      </sharedItems>
    </cacheField>
    <cacheField name="Número documento" numFmtId="0">
      <sharedItems containsSemiMixedTypes="0" containsString="0" containsNumber="1" containsInteger="1" minValue="41213" maxValue="204399"/>
    </cacheField>
    <cacheField name="Fecha libro mayor" numFmtId="168">
      <sharedItems containsSemiMixedTypes="0" containsNonDate="0" containsDate="1" containsString="0" minDate="2025-11-13T00:00:00" maxDate="2025-12-01T00:00:00"/>
    </cacheField>
    <cacheField name="Cd rtn" numFmtId="49">
      <sharedItems/>
    </cacheField>
    <cacheField name="Cd contzn" numFmtId="49">
      <sharedItems/>
    </cacheField>
    <cacheField name="Número línea" numFmtId="0">
      <sharedItems containsSemiMixedTypes="0" containsString="0" containsNumber="1" containsInteger="1" minValue="2" maxValue="58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minValue="4080752" maxValue="26371330"/>
    </cacheField>
    <cacheField name="UM" numFmtId="49">
      <sharedItems/>
    </cacheField>
    <cacheField name="Cuenta" numFmtId="49">
      <sharedItems count="4">
        <s v="331EXPREPRIC.161505.02051023"/>
        <s v="        0533.165002.02010101"/>
        <s v="331EXPRESECC.161505.02041023"/>
        <s v="        0533.165008.02300170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39021" maxValue="1944505"/>
    </cacheField>
    <cacheField name="Tipo batch" numFmtId="49">
      <sharedItems/>
    </cacheField>
    <cacheField name="Extensión línea" numFmtId="49">
      <sharedItems/>
    </cacheField>
    <cacheField name="Número unidad" numFmtId="49">
      <sharedItems containsBlank="1"/>
    </cacheField>
    <cacheField name="Número serie" numFmtId="49">
      <sharedItems containsBlank="1"/>
    </cacheField>
    <cacheField name="Orden de compra" numFmtId="49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439940"/>
    <s v="Distrib.Preactivo-Act.Operativ"/>
    <n v="-2033696.99"/>
    <x v="0"/>
    <n v="69309"/>
    <d v="2025-11-30T00:00:00"/>
    <s v=" "/>
    <s v=" "/>
    <n v="21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60227"/>
    <s v="Distrib.Preactivo-Act.Operativ"/>
    <n v="2033696.99"/>
    <x v="0"/>
    <n v="69309"/>
    <d v="2025-11-30T00:00:00"/>
    <s v=" "/>
    <s v=" "/>
    <n v="22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4527853.66"/>
    <x v="0"/>
    <n v="69309"/>
    <d v="2025-11-30T00:00:00"/>
    <s v=" "/>
    <s v=" "/>
    <n v="23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62352"/>
    <s v="Distrib.Preactivo-Act.Operativ"/>
    <n v="4527853.66"/>
    <x v="0"/>
    <n v="69309"/>
    <d v="2025-11-30T00:00:00"/>
    <s v=" "/>
    <s v=" "/>
    <n v="24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4527853.66"/>
    <x v="0"/>
    <n v="69309"/>
    <d v="2025-11-30T00:00:00"/>
    <s v=" "/>
    <s v=" "/>
    <n v="25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62406"/>
    <s v="Distrib.Preactivo-Act.Operativ"/>
    <n v="4527853.66"/>
    <x v="0"/>
    <n v="69309"/>
    <d v="2025-11-30T00:00:00"/>
    <s v=" "/>
    <s v=" "/>
    <n v="26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9323242.9900000002"/>
    <x v="0"/>
    <n v="69309"/>
    <d v="2025-11-30T00:00:00"/>
    <s v=" "/>
    <s v=" "/>
    <n v="27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62470"/>
    <s v="Distrib.Preactivo-Act.Operativ"/>
    <n v="9323242.9900000002"/>
    <x v="0"/>
    <n v="69309"/>
    <d v="2025-11-30T00:00:00"/>
    <s v=" "/>
    <s v=" "/>
    <n v="28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332554.18"/>
    <x v="0"/>
    <n v="69309"/>
    <d v="2025-11-30T00:00:00"/>
    <s v=" "/>
    <s v=" "/>
    <n v="29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63553"/>
    <s v="Distrib.Preactivo-Act.Operativ"/>
    <n v="332554.18"/>
    <x v="0"/>
    <n v="69309"/>
    <d v="2025-11-30T00:00:00"/>
    <s v=" "/>
    <s v=" "/>
    <n v="30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294182.53000000003"/>
    <x v="0"/>
    <n v="69309"/>
    <d v="2025-11-30T00:00:00"/>
    <s v=" "/>
    <s v=" "/>
    <n v="31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77155"/>
    <s v="Distrib.Preactivo-Act.Operativ"/>
    <n v="294182.53000000003"/>
    <x v="0"/>
    <n v="69309"/>
    <d v="2025-11-30T00:00:00"/>
    <s v=" "/>
    <s v=" "/>
    <n v="32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168408.83"/>
    <x v="0"/>
    <n v="69309"/>
    <d v="2025-11-30T00:00:00"/>
    <s v=" "/>
    <s v=" "/>
    <n v="33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278411"/>
    <s v="Distrib.Preactivo-Act.Operativ"/>
    <n v="168408.83"/>
    <x v="0"/>
    <n v="69309"/>
    <d v="2025-11-30T00:00:00"/>
    <s v=" "/>
    <s v=" "/>
    <n v="34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10477589.880000001"/>
    <x v="0"/>
    <n v="69309"/>
    <d v="2025-11-30T00:00:00"/>
    <s v=" "/>
    <s v=" "/>
    <n v="35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367081"/>
    <s v="Distrib.Preactivo-Act.Operativ"/>
    <n v="10477589.880000001"/>
    <x v="0"/>
    <n v="69309"/>
    <d v="2025-11-30T00:00:00"/>
    <s v=" "/>
    <s v=" "/>
    <n v="36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4338127.24"/>
    <x v="0"/>
    <n v="69309"/>
    <d v="2025-11-30T00:00:00"/>
    <s v=" "/>
    <s v=" "/>
    <n v="37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415954"/>
    <s v="Distrib.Preactivo-Act.Operativ"/>
    <n v="4338127.24"/>
    <x v="0"/>
    <n v="69309"/>
    <d v="2025-11-30T00:00:00"/>
    <s v=" "/>
    <s v=" "/>
    <n v="38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0"/>
    <s v="Distrib.Preactivo-Act.Operativ"/>
    <n v="-2647643.2200000002"/>
    <x v="0"/>
    <n v="69309"/>
    <d v="2025-11-30T00:00:00"/>
    <s v=" "/>
    <s v=" "/>
    <n v="39"/>
    <s v="División de A/F"/>
    <s v=" "/>
    <m/>
    <m/>
    <s v=" "/>
    <x v="0"/>
    <s v="FH"/>
    <s v=" "/>
    <s v=" "/>
    <s v="00533"/>
    <s v="00533"/>
    <n v="1944379"/>
    <s v="G"/>
    <s v=" "/>
    <s v=" "/>
    <s v=" "/>
    <s v=" "/>
    <m/>
  </r>
  <r>
    <x v="0"/>
    <n v="428876"/>
    <s v="Distrib.Preactivo-Act.Operativ"/>
    <n v="2647643.2200000002"/>
    <x v="0"/>
    <n v="69309"/>
    <d v="2025-11-30T00:00:00"/>
    <s v=" "/>
    <s v=" "/>
    <n v="40"/>
    <s v="División de A/F"/>
    <s v=" "/>
    <m/>
    <m/>
    <s v=" "/>
    <x v="1"/>
    <s v="FH"/>
    <s v=" "/>
    <s v=" "/>
    <s v="00533"/>
    <s v="00533"/>
    <n v="1944379"/>
    <s v="G"/>
    <s v=" "/>
    <s v=" "/>
    <s v=" "/>
    <s v=" "/>
    <m/>
  </r>
  <r>
    <x v="0"/>
    <n v="439941"/>
    <s v="Distrib.Preactivo-Act.Operativ"/>
    <n v="-2564283.73"/>
    <x v="0"/>
    <n v="69311"/>
    <d v="2025-11-30T00:00:00"/>
    <s v=" "/>
    <s v=" "/>
    <n v="5"/>
    <s v="División de A/F"/>
    <s v=" "/>
    <m/>
    <m/>
    <s v=" "/>
    <x v="2"/>
    <s v="FH"/>
    <s v=" "/>
    <s v=" "/>
    <s v="00533"/>
    <s v="00533"/>
    <n v="1944391"/>
    <s v="G"/>
    <s v=" "/>
    <s v=" "/>
    <s v=" "/>
    <s v=" "/>
    <m/>
  </r>
  <r>
    <x v="0"/>
    <n v="260227"/>
    <s v="Distrib.Preactivo-Act.Operativ"/>
    <n v="2564283.73"/>
    <x v="0"/>
    <n v="69311"/>
    <d v="2025-11-30T00:00:00"/>
    <s v=" "/>
    <s v=" "/>
    <n v="6"/>
    <s v="División de A/F"/>
    <s v=" "/>
    <m/>
    <m/>
    <s v=" "/>
    <x v="1"/>
    <s v="FH"/>
    <s v=" "/>
    <s v=" "/>
    <s v="00533"/>
    <s v="00533"/>
    <n v="1944391"/>
    <s v="G"/>
    <s v=" "/>
    <s v=" "/>
    <s v=" "/>
    <s v=" "/>
    <m/>
  </r>
  <r>
    <x v="0"/>
    <n v="439941"/>
    <s v="Distrib.Preactivo-Act.Operativ"/>
    <n v="-6297212.7300000004"/>
    <x v="0"/>
    <n v="69311"/>
    <d v="2025-11-30T00:00:00"/>
    <s v=" "/>
    <s v=" "/>
    <n v="7"/>
    <s v="División de A/F"/>
    <s v=" "/>
    <m/>
    <m/>
    <s v=" "/>
    <x v="2"/>
    <s v="FH"/>
    <s v=" "/>
    <s v=" "/>
    <s v="00533"/>
    <s v="00533"/>
    <n v="1944391"/>
    <s v="G"/>
    <s v=" "/>
    <s v=" "/>
    <s v=" "/>
    <s v=" "/>
    <m/>
  </r>
  <r>
    <x v="0"/>
    <n v="262527"/>
    <s v="Distrib.Preactivo-Act.Operativ"/>
    <n v="6297212.7300000004"/>
    <x v="0"/>
    <n v="69311"/>
    <d v="2025-11-30T00:00:00"/>
    <s v=" "/>
    <s v=" "/>
    <n v="8"/>
    <s v="División de A/F"/>
    <s v=" "/>
    <m/>
    <m/>
    <s v=" "/>
    <x v="1"/>
    <s v="FH"/>
    <s v=" "/>
    <s v=" "/>
    <s v="00533"/>
    <s v="00533"/>
    <n v="1944391"/>
    <s v="G"/>
    <s v=" "/>
    <s v=" "/>
    <s v=" "/>
    <s v=" "/>
    <m/>
  </r>
  <r>
    <x v="0"/>
    <m/>
    <s v="CUCUTA"/>
    <n v="9349850"/>
    <x v="1"/>
    <n v="203946"/>
    <d v="2025-11-13T00:00:00"/>
    <s v=" "/>
    <s v=" "/>
    <n v="58"/>
    <s v="ENGINEERING DEVELOPMENT AND TO"/>
    <s v=" "/>
    <m/>
    <n v="9349850"/>
    <s v=" "/>
    <x v="3"/>
    <s v="FH"/>
    <s v=" "/>
    <s v=" "/>
    <s v="00533"/>
    <s v="00533"/>
    <n v="1939021"/>
    <s v="G"/>
    <s v=" "/>
    <m/>
    <m/>
    <s v="00104248"/>
    <m/>
  </r>
  <r>
    <x v="1"/>
    <m/>
    <s v="Sardinata"/>
    <n v="19204391"/>
    <x v="1"/>
    <n v="204105"/>
    <d v="2025-11-18T00:00:00"/>
    <s v=" "/>
    <s v=" "/>
    <n v="10"/>
    <s v="FORESTAL CONSULTORES SAS"/>
    <s v=" "/>
    <m/>
    <n v="19204391"/>
    <s v=" "/>
    <x v="3"/>
    <s v="FH"/>
    <s v=" "/>
    <s v=" "/>
    <s v="00533"/>
    <s v="00533"/>
    <n v="1940004"/>
    <s v="G"/>
    <s v=" "/>
    <m/>
    <m/>
    <s v="00104417"/>
    <m/>
  </r>
  <r>
    <x v="1"/>
    <m/>
    <s v="Sardinata"/>
    <n v="26371330"/>
    <x v="1"/>
    <n v="204105"/>
    <d v="2025-11-18T00:00:00"/>
    <s v=" "/>
    <s v=" "/>
    <n v="12"/>
    <s v="FORESTAL CONSULTORES SAS"/>
    <s v=" "/>
    <m/>
    <n v="26371330"/>
    <s v=" "/>
    <x v="3"/>
    <s v="FH"/>
    <s v=" "/>
    <s v=" "/>
    <s v="00533"/>
    <s v="00533"/>
    <n v="1940004"/>
    <s v="G"/>
    <s v=" "/>
    <m/>
    <m/>
    <s v="00104417"/>
    <m/>
  </r>
  <r>
    <x v="1"/>
    <m/>
    <s v="Sardinata"/>
    <n v="15611415"/>
    <x v="1"/>
    <n v="204105"/>
    <d v="2025-11-18T00:00:00"/>
    <s v=" "/>
    <s v=" "/>
    <n v="14"/>
    <s v="FORESTAL CONSULTORES SAS"/>
    <s v=" "/>
    <m/>
    <n v="15611415"/>
    <s v=" "/>
    <x v="3"/>
    <s v="FH"/>
    <s v=" "/>
    <s v=" "/>
    <s v="00533"/>
    <s v="00533"/>
    <n v="1940004"/>
    <s v="G"/>
    <s v=" "/>
    <m/>
    <m/>
    <s v="00104417"/>
    <m/>
  </r>
  <r>
    <x v="1"/>
    <m/>
    <s v="Sardinata"/>
    <n v="4080752"/>
    <x v="1"/>
    <n v="204105"/>
    <d v="2025-11-18T00:00:00"/>
    <s v=" "/>
    <s v=" "/>
    <n v="16"/>
    <s v="FORESTAL CONSULTORES SAS"/>
    <s v=" "/>
    <m/>
    <n v="4080752"/>
    <s v=" "/>
    <x v="3"/>
    <s v="FH"/>
    <s v=" "/>
    <s v=" "/>
    <s v="00533"/>
    <s v="00533"/>
    <n v="1940004"/>
    <s v="G"/>
    <s v=" "/>
    <m/>
    <m/>
    <s v="00104417"/>
    <m/>
  </r>
  <r>
    <x v="1"/>
    <m/>
    <s v="Cúcuta"/>
    <n v="21499867.93"/>
    <x v="1"/>
    <n v="204399"/>
    <d v="2025-11-21T00:00:00"/>
    <s v=" "/>
    <s v=" "/>
    <n v="2"/>
    <s v="FORESTAL CONSULTORES SAS"/>
    <s v=" "/>
    <m/>
    <n v="21499867.93"/>
    <s v=" "/>
    <x v="3"/>
    <s v="FH"/>
    <s v=" "/>
    <s v=" "/>
    <s v="00533"/>
    <s v="00533"/>
    <n v="1941970"/>
    <s v="G"/>
    <s v=" "/>
    <m/>
    <m/>
    <s v="00104595"/>
    <m/>
  </r>
  <r>
    <x v="0"/>
    <m/>
    <s v="CUCUTA"/>
    <n v="1776471.5"/>
    <x v="2"/>
    <n v="41213"/>
    <d v="2025-11-13T00:00:00"/>
    <s v=" "/>
    <s v=" "/>
    <n v="3"/>
    <s v="ENGINEERING DEVELOPMENT AND TO"/>
    <s v=" "/>
    <m/>
    <m/>
    <s v=" "/>
    <x v="3"/>
    <s v="FH"/>
    <s v=" "/>
    <s v=" "/>
    <s v="00533"/>
    <s v="00533"/>
    <n v="1941999"/>
    <s v="G"/>
    <s v=" "/>
    <m/>
    <m/>
    <s v="00104248"/>
    <m/>
  </r>
  <r>
    <x v="1"/>
    <m/>
    <s v="Cúcuta"/>
    <n v="4084974.91"/>
    <x v="2"/>
    <n v="41269"/>
    <d v="2025-11-25T00:00:00"/>
    <s v=" "/>
    <s v=" "/>
    <n v="3"/>
    <s v="FORESTAL CONSULTORES SAS"/>
    <s v=" "/>
    <m/>
    <m/>
    <s v=" "/>
    <x v="3"/>
    <s v="FH"/>
    <s v=" "/>
    <s v=" "/>
    <s v="00533"/>
    <s v="00533"/>
    <n v="1944480"/>
    <s v="G"/>
    <s v=" "/>
    <m/>
    <m/>
    <s v="00104595"/>
    <m/>
  </r>
  <r>
    <x v="1"/>
    <m/>
    <s v="Sardinata"/>
    <n v="3648834.29"/>
    <x v="2"/>
    <n v="41314"/>
    <d v="2025-11-19T00:00:00"/>
    <s v=" "/>
    <s v=" "/>
    <n v="3"/>
    <s v="FORESTAL CONSULTORES SAS"/>
    <s v=" "/>
    <m/>
    <m/>
    <s v=" "/>
    <x v="3"/>
    <s v="FH"/>
    <s v=" "/>
    <s v=" "/>
    <s v="00533"/>
    <s v="00533"/>
    <n v="1944505"/>
    <s v="G"/>
    <s v=" "/>
    <m/>
    <m/>
    <s v="00104417"/>
    <m/>
  </r>
  <r>
    <x v="1"/>
    <m/>
    <s v="Sardinata"/>
    <n v="5010552.7"/>
    <x v="2"/>
    <n v="41314"/>
    <d v="2025-11-19T00:00:00"/>
    <s v=" "/>
    <s v=" "/>
    <n v="5"/>
    <s v="FORESTAL CONSULTORES SAS"/>
    <s v=" "/>
    <m/>
    <m/>
    <s v=" "/>
    <x v="3"/>
    <s v="FH"/>
    <s v=" "/>
    <s v=" "/>
    <s v="00533"/>
    <s v="00533"/>
    <n v="1944505"/>
    <s v="G"/>
    <s v=" "/>
    <m/>
    <m/>
    <s v="00104417"/>
    <m/>
  </r>
  <r>
    <x v="1"/>
    <m/>
    <s v="Sardinata"/>
    <n v="2966168.85"/>
    <x v="2"/>
    <n v="41314"/>
    <d v="2025-11-19T00:00:00"/>
    <s v=" "/>
    <s v=" "/>
    <n v="7"/>
    <s v="FORESTAL CONSULTORES SAS"/>
    <s v=" "/>
    <m/>
    <m/>
    <s v=" "/>
    <x v="3"/>
    <s v="FH"/>
    <s v=" "/>
    <s v=" "/>
    <s v="00533"/>
    <s v="00533"/>
    <n v="1944505"/>
    <s v="G"/>
    <s v=" "/>
    <m/>
    <m/>
    <s v="00104417"/>
    <m/>
  </r>
  <r>
    <x v="1"/>
    <m/>
    <s v="Sardinata"/>
    <n v="775342.88"/>
    <x v="2"/>
    <n v="41314"/>
    <d v="2025-11-19T00:00:00"/>
    <s v=" "/>
    <s v=" "/>
    <n v="9"/>
    <s v="FORESTAL CONSULTORES SAS"/>
    <s v=" "/>
    <m/>
    <m/>
    <s v=" "/>
    <x v="3"/>
    <s v="FH"/>
    <s v=" "/>
    <s v=" "/>
    <s v="00533"/>
    <s v="00533"/>
    <n v="1944505"/>
    <s v="G"/>
    <s v=" "/>
    <m/>
    <m/>
    <s v="001044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4DAB1-2D14-49F9-BFE0-0FA0504737A1}" name="TablaDinámica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/>
  <pivotFields count="28">
    <pivotField axis="axisRow" showAll="0">
      <items count="3">
        <item x="0"/>
        <item x="1"/>
        <item t="default"/>
      </items>
    </pivotField>
    <pivotField showAll="0"/>
    <pivotField showAll="0"/>
    <pivotField numFmtId="43"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5">
    <i>
      <x/>
    </i>
    <i r="1">
      <x/>
    </i>
    <i r="2">
      <x/>
    </i>
    <i r="2">
      <x v="2"/>
    </i>
    <i r="2">
      <x v="3"/>
    </i>
    <i r="1">
      <x v="1"/>
    </i>
    <i r="2">
      <x v="1"/>
    </i>
    <i r="1">
      <x v="2"/>
    </i>
    <i r="2">
      <x v="1"/>
    </i>
    <i>
      <x v="1"/>
    </i>
    <i r="1">
      <x v="1"/>
    </i>
    <i r="2">
      <x v="1"/>
    </i>
    <i r="1">
      <x v="2"/>
    </i>
    <i r="2">
      <x v="1"/>
    </i>
    <i t="grand">
      <x/>
    </i>
  </rowItems>
  <colItems count="1">
    <i/>
  </colItems>
  <dataFields count="1">
    <dataField name="Cuenta de Número documento" fld="5" subtotal="count" baseField="15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FD193-012A-4F4E-B934-8F0BE32E3ED0}" name="Tabla1" displayName="Tabla1" ref="A1:AB37" totalsRowShown="0" headerRowDxfId="0" dataDxfId="1">
  <autoFilter ref="A1:AB37" xr:uid="{BFDD1EA6-474A-4F09-8456-1BB68F762330}"/>
  <tableColumns count="28">
    <tableColumn id="1" xr3:uid="{48F17D10-23F8-4EF8-8E90-2CB89FE31F7B}" name="RESPONSABLE"/>
    <tableColumn id="2" xr3:uid="{737FDCFA-9EAB-46DF-9A37-CE74C983A561}" name="Número activo"/>
    <tableColumn id="3" xr3:uid="{0DCEBA8F-B305-4383-BFDD-7F09661C6705}" name="Explicación" dataDxfId="21"/>
    <tableColumn id="4" xr3:uid="{3C99658C-7211-4352-B517-64C00186CA4A}" name="Importe                     " dataDxfId="20" dataCellStyle="Millares"/>
    <tableColumn id="5" xr3:uid="{0E70F1C8-07AE-4EF3-89C3-0E48516FA536}" name="Tipo doc" dataDxfId="19"/>
    <tableColumn id="6" xr3:uid="{FE403758-77C0-4F5D-A6ED-154D3CBB1218}" name="Número documento"/>
    <tableColumn id="7" xr3:uid="{95B127BB-7B8C-4B59-8868-A9192FE32753}" name="Fecha libro mayor" dataDxfId="18"/>
    <tableColumn id="8" xr3:uid="{201EABC4-6608-49E0-B320-B3D9D6D0D281}" name="Cd rtn" dataDxfId="17"/>
    <tableColumn id="9" xr3:uid="{07C3ED43-14F8-4EFA-A315-8E306DEF161F}" name="Cd contzn" dataDxfId="16"/>
    <tableColumn id="10" xr3:uid="{7DDFE2A3-7501-469E-B33A-1362194B0C25}" name="Número línea"/>
    <tableColumn id="11" xr3:uid="{D4368689-EAE5-46D6-ACF7-F7A6584D6AF7}" name="Explicación2" dataDxfId="15"/>
    <tableColumn id="12" xr3:uid="{4F3F0036-7A4E-4549-B706-3AEA96F51414}" name="Cd fact" dataDxfId="14"/>
    <tableColumn id="13" xr3:uid="{E875B1E2-4458-493A-8A88-D2B381A8A736}" name="Código DOI"/>
    <tableColumn id="14" xr3:uid="{56C62CED-5CDF-482F-8596-296250E5F979}" name="Unidades"/>
    <tableColumn id="15" xr3:uid="{1BCBAEA1-012A-4B2E-B1B8-2711B2A50E32}" name="UM" dataDxfId="13"/>
    <tableColumn id="16" xr3:uid="{70B84F82-0B1A-426A-86B8-8F4C02D287AD}" name="Cuenta" dataDxfId="12"/>
    <tableColumn id="17" xr3:uid="{D4C0E79A-C39C-459C-9D0B-D73B8C6F2252}" name="Tipo LM" dataDxfId="11"/>
    <tableColumn id="18" xr3:uid="{5F2C29AE-84CC-4FA8-B09E-5D91B845140D}" name="Tp LM aux" dataDxfId="10"/>
    <tableColumn id="19" xr3:uid="{334DDAE2-FA47-4E17-A60A-458F7CB44983}" name="Libro mayor auxiliar" dataDxfId="9"/>
    <tableColumn id="20" xr3:uid="{5C8094E0-0362-4400-A0B9-069CDB217A5B}" name="Compañía documento" dataDxfId="8"/>
    <tableColumn id="21" xr3:uid="{08A0F1FD-3050-4C86-B42F-B9303ED5106D}" name="Compañía" dataDxfId="7"/>
    <tableColumn id="22" xr3:uid="{40339567-475A-4140-BA7B-92691117678B}" name="Número batch"/>
    <tableColumn id="23" xr3:uid="{11A28A61-118F-4F28-90EF-056AB95067B7}" name="Tipo batch" dataDxfId="6"/>
    <tableColumn id="24" xr3:uid="{77B37BBE-A197-43FF-93E6-3F980E75AB74}" name="Extensión línea" dataDxfId="5"/>
    <tableColumn id="25" xr3:uid="{3BA3A1C5-3C72-4627-8B09-DEB2FA1012BB}" name="Número unidad" dataDxfId="4"/>
    <tableColumn id="26" xr3:uid="{FBA87AE7-7001-48CF-A703-35DDD5BCF881}" name="Número serie" dataDxfId="3"/>
    <tableColumn id="27" xr3:uid="{38E86338-785A-4B82-9E2F-8A639B580BF2}" name="Orden de compra" dataDxfId="2"/>
    <tableColumn id="28" xr3:uid="{2B0A68C8-609D-4874-8FFC-A035D931F224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26EB-BFB6-4CD3-A8DE-F8C9EBC46B1F}">
  <dimension ref="A3:B18"/>
  <sheetViews>
    <sheetView tabSelected="1" workbookViewId="0">
      <selection activeCell="H7" sqref="H7"/>
    </sheetView>
  </sheetViews>
  <sheetFormatPr baseColWidth="10" defaultRowHeight="14.5" x14ac:dyDescent="0.35"/>
  <cols>
    <col min="1" max="1" width="34" bestFit="1" customWidth="1"/>
    <col min="2" max="2" width="26.54296875" bestFit="1" customWidth="1"/>
  </cols>
  <sheetData>
    <row r="3" spans="1:2" x14ac:dyDescent="0.35">
      <c r="A3" s="7" t="s">
        <v>51</v>
      </c>
      <c r="B3" t="s">
        <v>53</v>
      </c>
    </row>
    <row r="4" spans="1:2" x14ac:dyDescent="0.35">
      <c r="A4" s="8" t="s">
        <v>48</v>
      </c>
      <c r="B4" s="10">
        <v>26</v>
      </c>
    </row>
    <row r="5" spans="1:2" x14ac:dyDescent="0.35">
      <c r="A5" s="9" t="s">
        <v>27</v>
      </c>
      <c r="B5" s="10">
        <v>24</v>
      </c>
    </row>
    <row r="6" spans="1:2" x14ac:dyDescent="0.35">
      <c r="A6" s="11" t="s">
        <v>34</v>
      </c>
      <c r="B6" s="10">
        <v>12</v>
      </c>
    </row>
    <row r="7" spans="1:2" x14ac:dyDescent="0.35">
      <c r="A7" s="11" t="s">
        <v>30</v>
      </c>
      <c r="B7" s="10">
        <v>10</v>
      </c>
    </row>
    <row r="8" spans="1:2" x14ac:dyDescent="0.35">
      <c r="A8" s="11" t="s">
        <v>35</v>
      </c>
      <c r="B8" s="10">
        <v>2</v>
      </c>
    </row>
    <row r="9" spans="1:2" x14ac:dyDescent="0.35">
      <c r="A9" s="9" t="s">
        <v>37</v>
      </c>
      <c r="B9" s="10">
        <v>1</v>
      </c>
    </row>
    <row r="10" spans="1:2" x14ac:dyDescent="0.35">
      <c r="A10" s="11" t="s">
        <v>39</v>
      </c>
      <c r="B10" s="10">
        <v>1</v>
      </c>
    </row>
    <row r="11" spans="1:2" x14ac:dyDescent="0.35">
      <c r="A11" s="9" t="s">
        <v>46</v>
      </c>
      <c r="B11" s="10">
        <v>1</v>
      </c>
    </row>
    <row r="12" spans="1:2" x14ac:dyDescent="0.35">
      <c r="A12" s="11" t="s">
        <v>39</v>
      </c>
      <c r="B12" s="10">
        <v>1</v>
      </c>
    </row>
    <row r="13" spans="1:2" x14ac:dyDescent="0.35">
      <c r="A13" s="8" t="s">
        <v>49</v>
      </c>
      <c r="B13" s="10">
        <v>10</v>
      </c>
    </row>
    <row r="14" spans="1:2" x14ac:dyDescent="0.35">
      <c r="A14" s="9" t="s">
        <v>37</v>
      </c>
      <c r="B14" s="10">
        <v>5</v>
      </c>
    </row>
    <row r="15" spans="1:2" x14ac:dyDescent="0.35">
      <c r="A15" s="11" t="s">
        <v>39</v>
      </c>
      <c r="B15" s="10">
        <v>5</v>
      </c>
    </row>
    <row r="16" spans="1:2" x14ac:dyDescent="0.35">
      <c r="A16" s="9" t="s">
        <v>46</v>
      </c>
      <c r="B16" s="10">
        <v>5</v>
      </c>
    </row>
    <row r="17" spans="1:2" x14ac:dyDescent="0.35">
      <c r="A17" s="11" t="s">
        <v>39</v>
      </c>
      <c r="B17" s="10">
        <v>5</v>
      </c>
    </row>
    <row r="18" spans="1:2" x14ac:dyDescent="0.35">
      <c r="A18" s="8" t="s">
        <v>52</v>
      </c>
      <c r="B18" s="10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1EA6-474A-4F09-8456-1BB68F762330}">
  <dimension ref="A1:AB37"/>
  <sheetViews>
    <sheetView topLeftCell="A2" workbookViewId="0">
      <selection sqref="A1:AB37"/>
    </sheetView>
  </sheetViews>
  <sheetFormatPr baseColWidth="10" defaultRowHeight="14.5" x14ac:dyDescent="0.35"/>
  <cols>
    <col min="1" max="1" width="14.90625" customWidth="1"/>
    <col min="2" max="2" width="15.26953125" customWidth="1"/>
    <col min="3" max="3" width="12.6328125" style="1" customWidth="1"/>
    <col min="4" max="4" width="22.08984375" style="6" customWidth="1"/>
    <col min="5" max="5" width="10.90625" style="1"/>
    <col min="6" max="6" width="19.7265625" customWidth="1"/>
    <col min="7" max="7" width="18.26953125" style="2" customWidth="1"/>
    <col min="8" max="8" width="10.90625" style="1"/>
    <col min="9" max="9" width="11.54296875" style="1" customWidth="1"/>
    <col min="10" max="10" width="14.1796875" customWidth="1"/>
    <col min="11" max="11" width="13.6328125" style="1" customWidth="1"/>
    <col min="12" max="12" width="10.90625" style="1"/>
    <col min="13" max="13" width="12.6328125" customWidth="1"/>
    <col min="15" max="15" width="10.90625" style="1"/>
    <col min="16" max="16" width="28.90625" style="1" bestFit="1" customWidth="1"/>
    <col min="17" max="17" width="10.90625" style="1"/>
    <col min="18" max="18" width="11.90625" style="1" customWidth="1"/>
    <col min="19" max="19" width="19.90625" style="1" customWidth="1"/>
    <col min="20" max="20" width="21.6328125" style="1" customWidth="1"/>
    <col min="21" max="21" width="11.453125" style="1" customWidth="1"/>
    <col min="22" max="22" width="14.90625" customWidth="1"/>
    <col min="23" max="23" width="12" style="1" customWidth="1"/>
    <col min="24" max="24" width="16" style="1" customWidth="1"/>
    <col min="25" max="25" width="15.90625" style="1" customWidth="1"/>
    <col min="26" max="26" width="14.26953125" style="1" customWidth="1"/>
    <col min="27" max="27" width="17.81640625" style="1" customWidth="1"/>
    <col min="28" max="28" width="20.36328125" customWidth="1"/>
  </cols>
  <sheetData>
    <row r="1" spans="1:28" x14ac:dyDescent="0.35">
      <c r="A1" s="4" t="s">
        <v>47</v>
      </c>
      <c r="B1" s="3" t="s">
        <v>0</v>
      </c>
      <c r="C1" s="3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50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48</v>
      </c>
      <c r="B2">
        <v>439940</v>
      </c>
      <c r="C2" s="1" t="s">
        <v>26</v>
      </c>
      <c r="D2" s="6">
        <v>-2033696.99</v>
      </c>
      <c r="E2" s="1" t="s">
        <v>27</v>
      </c>
      <c r="F2">
        <v>69309</v>
      </c>
      <c r="G2" s="2">
        <v>45991</v>
      </c>
      <c r="H2" s="1" t="s">
        <v>28</v>
      </c>
      <c r="I2" s="1" t="s">
        <v>28</v>
      </c>
      <c r="J2">
        <v>21</v>
      </c>
      <c r="K2" s="1" t="s">
        <v>29</v>
      </c>
      <c r="L2" s="1" t="s">
        <v>28</v>
      </c>
      <c r="O2" s="1" t="s">
        <v>28</v>
      </c>
      <c r="P2" s="1" t="s">
        <v>30</v>
      </c>
      <c r="Q2" s="1" t="s">
        <v>31</v>
      </c>
      <c r="R2" s="1" t="s">
        <v>28</v>
      </c>
      <c r="S2" s="1" t="s">
        <v>28</v>
      </c>
      <c r="T2" s="1" t="s">
        <v>32</v>
      </c>
      <c r="U2" s="1" t="s">
        <v>32</v>
      </c>
      <c r="V2">
        <v>1944379</v>
      </c>
      <c r="W2" s="1" t="s">
        <v>33</v>
      </c>
      <c r="X2" s="1" t="s">
        <v>28</v>
      </c>
      <c r="Y2" s="1" t="s">
        <v>28</v>
      </c>
      <c r="Z2" s="1" t="s">
        <v>28</v>
      </c>
      <c r="AA2" s="1" t="s">
        <v>28</v>
      </c>
    </row>
    <row r="3" spans="1:28" x14ac:dyDescent="0.35">
      <c r="A3" t="s">
        <v>48</v>
      </c>
      <c r="B3">
        <v>260227</v>
      </c>
      <c r="C3" s="1" t="s">
        <v>26</v>
      </c>
      <c r="D3" s="6">
        <v>2033696.99</v>
      </c>
      <c r="E3" s="1" t="s">
        <v>27</v>
      </c>
      <c r="F3">
        <v>69309</v>
      </c>
      <c r="G3" s="2">
        <v>45991</v>
      </c>
      <c r="H3" s="1" t="s">
        <v>28</v>
      </c>
      <c r="I3" s="1" t="s">
        <v>28</v>
      </c>
      <c r="J3">
        <v>22</v>
      </c>
      <c r="K3" s="1" t="s">
        <v>29</v>
      </c>
      <c r="L3" s="1" t="s">
        <v>28</v>
      </c>
      <c r="O3" s="1" t="s">
        <v>28</v>
      </c>
      <c r="P3" s="1" t="s">
        <v>34</v>
      </c>
      <c r="Q3" s="1" t="s">
        <v>31</v>
      </c>
      <c r="R3" s="1" t="s">
        <v>28</v>
      </c>
      <c r="S3" s="1" t="s">
        <v>28</v>
      </c>
      <c r="T3" s="1" t="s">
        <v>32</v>
      </c>
      <c r="U3" s="1" t="s">
        <v>32</v>
      </c>
      <c r="V3">
        <v>1944379</v>
      </c>
      <c r="W3" s="1" t="s">
        <v>33</v>
      </c>
      <c r="X3" s="1" t="s">
        <v>28</v>
      </c>
      <c r="Y3" s="1" t="s">
        <v>28</v>
      </c>
      <c r="Z3" s="1" t="s">
        <v>28</v>
      </c>
      <c r="AA3" s="1" t="s">
        <v>28</v>
      </c>
    </row>
    <row r="4" spans="1:28" x14ac:dyDescent="0.35">
      <c r="A4" t="s">
        <v>48</v>
      </c>
      <c r="B4">
        <v>439940</v>
      </c>
      <c r="C4" s="1" t="s">
        <v>26</v>
      </c>
      <c r="D4" s="6">
        <v>-4527853.66</v>
      </c>
      <c r="E4" s="1" t="s">
        <v>27</v>
      </c>
      <c r="F4">
        <v>69309</v>
      </c>
      <c r="G4" s="2">
        <v>45991</v>
      </c>
      <c r="H4" s="1" t="s">
        <v>28</v>
      </c>
      <c r="I4" s="1" t="s">
        <v>28</v>
      </c>
      <c r="J4">
        <v>23</v>
      </c>
      <c r="K4" s="1" t="s">
        <v>29</v>
      </c>
      <c r="L4" s="1" t="s">
        <v>28</v>
      </c>
      <c r="O4" s="1" t="s">
        <v>28</v>
      </c>
      <c r="P4" s="1" t="s">
        <v>30</v>
      </c>
      <c r="Q4" s="1" t="s">
        <v>31</v>
      </c>
      <c r="R4" s="1" t="s">
        <v>28</v>
      </c>
      <c r="S4" s="1" t="s">
        <v>28</v>
      </c>
      <c r="T4" s="1" t="s">
        <v>32</v>
      </c>
      <c r="U4" s="1" t="s">
        <v>32</v>
      </c>
      <c r="V4">
        <v>1944379</v>
      </c>
      <c r="W4" s="1" t="s">
        <v>33</v>
      </c>
      <c r="X4" s="1" t="s">
        <v>28</v>
      </c>
      <c r="Y4" s="1" t="s">
        <v>28</v>
      </c>
      <c r="Z4" s="1" t="s">
        <v>28</v>
      </c>
      <c r="AA4" s="1" t="s">
        <v>28</v>
      </c>
    </row>
    <row r="5" spans="1:28" x14ac:dyDescent="0.35">
      <c r="A5" t="s">
        <v>48</v>
      </c>
      <c r="B5">
        <v>262352</v>
      </c>
      <c r="C5" s="1" t="s">
        <v>26</v>
      </c>
      <c r="D5" s="6">
        <v>4527853.66</v>
      </c>
      <c r="E5" s="1" t="s">
        <v>27</v>
      </c>
      <c r="F5">
        <v>69309</v>
      </c>
      <c r="G5" s="2">
        <v>45991</v>
      </c>
      <c r="H5" s="1" t="s">
        <v>28</v>
      </c>
      <c r="I5" s="1" t="s">
        <v>28</v>
      </c>
      <c r="J5">
        <v>24</v>
      </c>
      <c r="K5" s="1" t="s">
        <v>29</v>
      </c>
      <c r="L5" s="1" t="s">
        <v>28</v>
      </c>
      <c r="O5" s="1" t="s">
        <v>28</v>
      </c>
      <c r="P5" s="1" t="s">
        <v>34</v>
      </c>
      <c r="Q5" s="1" t="s">
        <v>31</v>
      </c>
      <c r="R5" s="1" t="s">
        <v>28</v>
      </c>
      <c r="S5" s="1" t="s">
        <v>28</v>
      </c>
      <c r="T5" s="1" t="s">
        <v>32</v>
      </c>
      <c r="U5" s="1" t="s">
        <v>32</v>
      </c>
      <c r="V5">
        <v>1944379</v>
      </c>
      <c r="W5" s="1" t="s">
        <v>33</v>
      </c>
      <c r="X5" s="1" t="s">
        <v>28</v>
      </c>
      <c r="Y5" s="1" t="s">
        <v>28</v>
      </c>
      <c r="Z5" s="1" t="s">
        <v>28</v>
      </c>
      <c r="AA5" s="1" t="s">
        <v>28</v>
      </c>
    </row>
    <row r="6" spans="1:28" x14ac:dyDescent="0.35">
      <c r="A6" t="s">
        <v>48</v>
      </c>
      <c r="B6">
        <v>439940</v>
      </c>
      <c r="C6" s="1" t="s">
        <v>26</v>
      </c>
      <c r="D6" s="6">
        <v>-4527853.66</v>
      </c>
      <c r="E6" s="1" t="s">
        <v>27</v>
      </c>
      <c r="F6">
        <v>69309</v>
      </c>
      <c r="G6" s="2">
        <v>45991</v>
      </c>
      <c r="H6" s="1" t="s">
        <v>28</v>
      </c>
      <c r="I6" s="1" t="s">
        <v>28</v>
      </c>
      <c r="J6">
        <v>25</v>
      </c>
      <c r="K6" s="1" t="s">
        <v>29</v>
      </c>
      <c r="L6" s="1" t="s">
        <v>28</v>
      </c>
      <c r="O6" s="1" t="s">
        <v>28</v>
      </c>
      <c r="P6" s="1" t="s">
        <v>30</v>
      </c>
      <c r="Q6" s="1" t="s">
        <v>31</v>
      </c>
      <c r="R6" s="1" t="s">
        <v>28</v>
      </c>
      <c r="S6" s="1" t="s">
        <v>28</v>
      </c>
      <c r="T6" s="1" t="s">
        <v>32</v>
      </c>
      <c r="U6" s="1" t="s">
        <v>32</v>
      </c>
      <c r="V6">
        <v>1944379</v>
      </c>
      <c r="W6" s="1" t="s">
        <v>33</v>
      </c>
      <c r="X6" s="1" t="s">
        <v>28</v>
      </c>
      <c r="Y6" s="1" t="s">
        <v>28</v>
      </c>
      <c r="Z6" s="1" t="s">
        <v>28</v>
      </c>
      <c r="AA6" s="1" t="s">
        <v>28</v>
      </c>
    </row>
    <row r="7" spans="1:28" x14ac:dyDescent="0.35">
      <c r="A7" t="s">
        <v>48</v>
      </c>
      <c r="B7">
        <v>262406</v>
      </c>
      <c r="C7" s="1" t="s">
        <v>26</v>
      </c>
      <c r="D7" s="6">
        <v>4527853.66</v>
      </c>
      <c r="E7" s="1" t="s">
        <v>27</v>
      </c>
      <c r="F7">
        <v>69309</v>
      </c>
      <c r="G7" s="2">
        <v>45991</v>
      </c>
      <c r="H7" s="1" t="s">
        <v>28</v>
      </c>
      <c r="I7" s="1" t="s">
        <v>28</v>
      </c>
      <c r="J7">
        <v>26</v>
      </c>
      <c r="K7" s="1" t="s">
        <v>29</v>
      </c>
      <c r="L7" s="1" t="s">
        <v>28</v>
      </c>
      <c r="O7" s="1" t="s">
        <v>28</v>
      </c>
      <c r="P7" s="1" t="s">
        <v>34</v>
      </c>
      <c r="Q7" s="1" t="s">
        <v>31</v>
      </c>
      <c r="R7" s="1" t="s">
        <v>28</v>
      </c>
      <c r="S7" s="1" t="s">
        <v>28</v>
      </c>
      <c r="T7" s="1" t="s">
        <v>32</v>
      </c>
      <c r="U7" s="1" t="s">
        <v>32</v>
      </c>
      <c r="V7">
        <v>1944379</v>
      </c>
      <c r="W7" s="1" t="s">
        <v>33</v>
      </c>
      <c r="X7" s="1" t="s">
        <v>28</v>
      </c>
      <c r="Y7" s="1" t="s">
        <v>28</v>
      </c>
      <c r="Z7" s="1" t="s">
        <v>28</v>
      </c>
      <c r="AA7" s="1" t="s">
        <v>28</v>
      </c>
    </row>
    <row r="8" spans="1:28" x14ac:dyDescent="0.35">
      <c r="A8" t="s">
        <v>48</v>
      </c>
      <c r="B8">
        <v>439940</v>
      </c>
      <c r="C8" s="1" t="s">
        <v>26</v>
      </c>
      <c r="D8" s="6">
        <v>-9323242.9900000002</v>
      </c>
      <c r="E8" s="1" t="s">
        <v>27</v>
      </c>
      <c r="F8">
        <v>69309</v>
      </c>
      <c r="G8" s="2">
        <v>45991</v>
      </c>
      <c r="H8" s="1" t="s">
        <v>28</v>
      </c>
      <c r="I8" s="1" t="s">
        <v>28</v>
      </c>
      <c r="J8">
        <v>27</v>
      </c>
      <c r="K8" s="1" t="s">
        <v>29</v>
      </c>
      <c r="L8" s="1" t="s">
        <v>28</v>
      </c>
      <c r="O8" s="1" t="s">
        <v>28</v>
      </c>
      <c r="P8" s="1" t="s">
        <v>30</v>
      </c>
      <c r="Q8" s="1" t="s">
        <v>31</v>
      </c>
      <c r="R8" s="1" t="s">
        <v>28</v>
      </c>
      <c r="S8" s="1" t="s">
        <v>28</v>
      </c>
      <c r="T8" s="1" t="s">
        <v>32</v>
      </c>
      <c r="U8" s="1" t="s">
        <v>32</v>
      </c>
      <c r="V8">
        <v>1944379</v>
      </c>
      <c r="W8" s="1" t="s">
        <v>33</v>
      </c>
      <c r="X8" s="1" t="s">
        <v>28</v>
      </c>
      <c r="Y8" s="1" t="s">
        <v>28</v>
      </c>
      <c r="Z8" s="1" t="s">
        <v>28</v>
      </c>
      <c r="AA8" s="1" t="s">
        <v>28</v>
      </c>
    </row>
    <row r="9" spans="1:28" x14ac:dyDescent="0.35">
      <c r="A9" t="s">
        <v>48</v>
      </c>
      <c r="B9">
        <v>262470</v>
      </c>
      <c r="C9" s="1" t="s">
        <v>26</v>
      </c>
      <c r="D9" s="6">
        <v>9323242.9900000002</v>
      </c>
      <c r="E9" s="1" t="s">
        <v>27</v>
      </c>
      <c r="F9">
        <v>69309</v>
      </c>
      <c r="G9" s="2">
        <v>45991</v>
      </c>
      <c r="H9" s="1" t="s">
        <v>28</v>
      </c>
      <c r="I9" s="1" t="s">
        <v>28</v>
      </c>
      <c r="J9">
        <v>28</v>
      </c>
      <c r="K9" s="1" t="s">
        <v>29</v>
      </c>
      <c r="L9" s="1" t="s">
        <v>28</v>
      </c>
      <c r="O9" s="1" t="s">
        <v>28</v>
      </c>
      <c r="P9" s="1" t="s">
        <v>34</v>
      </c>
      <c r="Q9" s="1" t="s">
        <v>31</v>
      </c>
      <c r="R9" s="1" t="s">
        <v>28</v>
      </c>
      <c r="S9" s="1" t="s">
        <v>28</v>
      </c>
      <c r="T9" s="1" t="s">
        <v>32</v>
      </c>
      <c r="U9" s="1" t="s">
        <v>32</v>
      </c>
      <c r="V9">
        <v>1944379</v>
      </c>
      <c r="W9" s="1" t="s">
        <v>33</v>
      </c>
      <c r="X9" s="1" t="s">
        <v>28</v>
      </c>
      <c r="Y9" s="1" t="s">
        <v>28</v>
      </c>
      <c r="Z9" s="1" t="s">
        <v>28</v>
      </c>
      <c r="AA9" s="1" t="s">
        <v>28</v>
      </c>
    </row>
    <row r="10" spans="1:28" x14ac:dyDescent="0.35">
      <c r="A10" t="s">
        <v>48</v>
      </c>
      <c r="B10">
        <v>439940</v>
      </c>
      <c r="C10" s="1" t="s">
        <v>26</v>
      </c>
      <c r="D10" s="6">
        <v>-332554.18</v>
      </c>
      <c r="E10" s="1" t="s">
        <v>27</v>
      </c>
      <c r="F10">
        <v>69309</v>
      </c>
      <c r="G10" s="2">
        <v>45991</v>
      </c>
      <c r="H10" s="1" t="s">
        <v>28</v>
      </c>
      <c r="I10" s="1" t="s">
        <v>28</v>
      </c>
      <c r="J10">
        <v>29</v>
      </c>
      <c r="K10" s="1" t="s">
        <v>29</v>
      </c>
      <c r="L10" s="1" t="s">
        <v>28</v>
      </c>
      <c r="O10" s="1" t="s">
        <v>28</v>
      </c>
      <c r="P10" s="1" t="s">
        <v>30</v>
      </c>
      <c r="Q10" s="1" t="s">
        <v>31</v>
      </c>
      <c r="R10" s="1" t="s">
        <v>28</v>
      </c>
      <c r="S10" s="1" t="s">
        <v>28</v>
      </c>
      <c r="T10" s="1" t="s">
        <v>32</v>
      </c>
      <c r="U10" s="1" t="s">
        <v>32</v>
      </c>
      <c r="V10">
        <v>1944379</v>
      </c>
      <c r="W10" s="1" t="s">
        <v>33</v>
      </c>
      <c r="X10" s="1" t="s">
        <v>28</v>
      </c>
      <c r="Y10" s="1" t="s">
        <v>28</v>
      </c>
      <c r="Z10" s="1" t="s">
        <v>28</v>
      </c>
      <c r="AA10" s="1" t="s">
        <v>28</v>
      </c>
    </row>
    <row r="11" spans="1:28" x14ac:dyDescent="0.35">
      <c r="A11" t="s">
        <v>48</v>
      </c>
      <c r="B11">
        <v>263553</v>
      </c>
      <c r="C11" s="1" t="s">
        <v>26</v>
      </c>
      <c r="D11" s="6">
        <v>332554.18</v>
      </c>
      <c r="E11" s="1" t="s">
        <v>27</v>
      </c>
      <c r="F11">
        <v>69309</v>
      </c>
      <c r="G11" s="2">
        <v>45991</v>
      </c>
      <c r="H11" s="1" t="s">
        <v>28</v>
      </c>
      <c r="I11" s="1" t="s">
        <v>28</v>
      </c>
      <c r="J11">
        <v>30</v>
      </c>
      <c r="K11" s="1" t="s">
        <v>29</v>
      </c>
      <c r="L11" s="1" t="s">
        <v>28</v>
      </c>
      <c r="O11" s="1" t="s">
        <v>28</v>
      </c>
      <c r="P11" s="1" t="s">
        <v>34</v>
      </c>
      <c r="Q11" s="1" t="s">
        <v>31</v>
      </c>
      <c r="R11" s="1" t="s">
        <v>28</v>
      </c>
      <c r="S11" s="1" t="s">
        <v>28</v>
      </c>
      <c r="T11" s="1" t="s">
        <v>32</v>
      </c>
      <c r="U11" s="1" t="s">
        <v>32</v>
      </c>
      <c r="V11">
        <v>1944379</v>
      </c>
      <c r="W11" s="1" t="s">
        <v>33</v>
      </c>
      <c r="X11" s="1" t="s">
        <v>28</v>
      </c>
      <c r="Y11" s="1" t="s">
        <v>28</v>
      </c>
      <c r="Z11" s="1" t="s">
        <v>28</v>
      </c>
      <c r="AA11" s="1" t="s">
        <v>28</v>
      </c>
    </row>
    <row r="12" spans="1:28" x14ac:dyDescent="0.35">
      <c r="A12" t="s">
        <v>48</v>
      </c>
      <c r="B12">
        <v>439940</v>
      </c>
      <c r="C12" s="1" t="s">
        <v>26</v>
      </c>
      <c r="D12" s="6">
        <v>-294182.53000000003</v>
      </c>
      <c r="E12" s="1" t="s">
        <v>27</v>
      </c>
      <c r="F12">
        <v>69309</v>
      </c>
      <c r="G12" s="2">
        <v>45991</v>
      </c>
      <c r="H12" s="1" t="s">
        <v>28</v>
      </c>
      <c r="I12" s="1" t="s">
        <v>28</v>
      </c>
      <c r="J12">
        <v>31</v>
      </c>
      <c r="K12" s="1" t="s">
        <v>29</v>
      </c>
      <c r="L12" s="1" t="s">
        <v>28</v>
      </c>
      <c r="O12" s="1" t="s">
        <v>28</v>
      </c>
      <c r="P12" s="1" t="s">
        <v>30</v>
      </c>
      <c r="Q12" s="1" t="s">
        <v>31</v>
      </c>
      <c r="R12" s="1" t="s">
        <v>28</v>
      </c>
      <c r="S12" s="1" t="s">
        <v>28</v>
      </c>
      <c r="T12" s="1" t="s">
        <v>32</v>
      </c>
      <c r="U12" s="1" t="s">
        <v>32</v>
      </c>
      <c r="V12">
        <v>1944379</v>
      </c>
      <c r="W12" s="1" t="s">
        <v>33</v>
      </c>
      <c r="X12" s="1" t="s">
        <v>28</v>
      </c>
      <c r="Y12" s="1" t="s">
        <v>28</v>
      </c>
      <c r="Z12" s="1" t="s">
        <v>28</v>
      </c>
      <c r="AA12" s="1" t="s">
        <v>28</v>
      </c>
    </row>
    <row r="13" spans="1:28" x14ac:dyDescent="0.35">
      <c r="A13" t="s">
        <v>48</v>
      </c>
      <c r="B13">
        <v>277155</v>
      </c>
      <c r="C13" s="1" t="s">
        <v>26</v>
      </c>
      <c r="D13" s="6">
        <v>294182.53000000003</v>
      </c>
      <c r="E13" s="1" t="s">
        <v>27</v>
      </c>
      <c r="F13">
        <v>69309</v>
      </c>
      <c r="G13" s="2">
        <v>45991</v>
      </c>
      <c r="H13" s="1" t="s">
        <v>28</v>
      </c>
      <c r="I13" s="1" t="s">
        <v>28</v>
      </c>
      <c r="J13">
        <v>32</v>
      </c>
      <c r="K13" s="1" t="s">
        <v>29</v>
      </c>
      <c r="L13" s="1" t="s">
        <v>28</v>
      </c>
      <c r="O13" s="1" t="s">
        <v>28</v>
      </c>
      <c r="P13" s="1" t="s">
        <v>34</v>
      </c>
      <c r="Q13" s="1" t="s">
        <v>31</v>
      </c>
      <c r="R13" s="1" t="s">
        <v>28</v>
      </c>
      <c r="S13" s="1" t="s">
        <v>28</v>
      </c>
      <c r="T13" s="1" t="s">
        <v>32</v>
      </c>
      <c r="U13" s="1" t="s">
        <v>32</v>
      </c>
      <c r="V13">
        <v>1944379</v>
      </c>
      <c r="W13" s="1" t="s">
        <v>33</v>
      </c>
      <c r="X13" s="1" t="s">
        <v>28</v>
      </c>
      <c r="Y13" s="1" t="s">
        <v>28</v>
      </c>
      <c r="Z13" s="1" t="s">
        <v>28</v>
      </c>
      <c r="AA13" s="1" t="s">
        <v>28</v>
      </c>
    </row>
    <row r="14" spans="1:28" x14ac:dyDescent="0.35">
      <c r="A14" t="s">
        <v>48</v>
      </c>
      <c r="B14">
        <v>439940</v>
      </c>
      <c r="C14" s="1" t="s">
        <v>26</v>
      </c>
      <c r="D14" s="6">
        <v>-168408.83</v>
      </c>
      <c r="E14" s="1" t="s">
        <v>27</v>
      </c>
      <c r="F14">
        <v>69309</v>
      </c>
      <c r="G14" s="2">
        <v>45991</v>
      </c>
      <c r="H14" s="1" t="s">
        <v>28</v>
      </c>
      <c r="I14" s="1" t="s">
        <v>28</v>
      </c>
      <c r="J14">
        <v>33</v>
      </c>
      <c r="K14" s="1" t="s">
        <v>29</v>
      </c>
      <c r="L14" s="1" t="s">
        <v>28</v>
      </c>
      <c r="O14" s="1" t="s">
        <v>28</v>
      </c>
      <c r="P14" s="1" t="s">
        <v>30</v>
      </c>
      <c r="Q14" s="1" t="s">
        <v>31</v>
      </c>
      <c r="R14" s="1" t="s">
        <v>28</v>
      </c>
      <c r="S14" s="1" t="s">
        <v>28</v>
      </c>
      <c r="T14" s="1" t="s">
        <v>32</v>
      </c>
      <c r="U14" s="1" t="s">
        <v>32</v>
      </c>
      <c r="V14">
        <v>1944379</v>
      </c>
      <c r="W14" s="1" t="s">
        <v>33</v>
      </c>
      <c r="X14" s="1" t="s">
        <v>28</v>
      </c>
      <c r="Y14" s="1" t="s">
        <v>28</v>
      </c>
      <c r="Z14" s="1" t="s">
        <v>28</v>
      </c>
      <c r="AA14" s="1" t="s">
        <v>28</v>
      </c>
    </row>
    <row r="15" spans="1:28" x14ac:dyDescent="0.35">
      <c r="A15" t="s">
        <v>48</v>
      </c>
      <c r="B15">
        <v>278411</v>
      </c>
      <c r="C15" s="1" t="s">
        <v>26</v>
      </c>
      <c r="D15" s="6">
        <v>168408.83</v>
      </c>
      <c r="E15" s="1" t="s">
        <v>27</v>
      </c>
      <c r="F15">
        <v>69309</v>
      </c>
      <c r="G15" s="2">
        <v>45991</v>
      </c>
      <c r="H15" s="1" t="s">
        <v>28</v>
      </c>
      <c r="I15" s="1" t="s">
        <v>28</v>
      </c>
      <c r="J15">
        <v>34</v>
      </c>
      <c r="K15" s="1" t="s">
        <v>29</v>
      </c>
      <c r="L15" s="1" t="s">
        <v>28</v>
      </c>
      <c r="O15" s="1" t="s">
        <v>28</v>
      </c>
      <c r="P15" s="1" t="s">
        <v>34</v>
      </c>
      <c r="Q15" s="1" t="s">
        <v>31</v>
      </c>
      <c r="R15" s="1" t="s">
        <v>28</v>
      </c>
      <c r="S15" s="1" t="s">
        <v>28</v>
      </c>
      <c r="T15" s="1" t="s">
        <v>32</v>
      </c>
      <c r="U15" s="1" t="s">
        <v>32</v>
      </c>
      <c r="V15">
        <v>1944379</v>
      </c>
      <c r="W15" s="1" t="s">
        <v>33</v>
      </c>
      <c r="X15" s="1" t="s">
        <v>28</v>
      </c>
      <c r="Y15" s="1" t="s">
        <v>28</v>
      </c>
      <c r="Z15" s="1" t="s">
        <v>28</v>
      </c>
      <c r="AA15" s="1" t="s">
        <v>28</v>
      </c>
    </row>
    <row r="16" spans="1:28" x14ac:dyDescent="0.35">
      <c r="A16" t="s">
        <v>48</v>
      </c>
      <c r="B16">
        <v>439940</v>
      </c>
      <c r="C16" s="1" t="s">
        <v>26</v>
      </c>
      <c r="D16" s="6">
        <v>-10477589.880000001</v>
      </c>
      <c r="E16" s="1" t="s">
        <v>27</v>
      </c>
      <c r="F16">
        <v>69309</v>
      </c>
      <c r="G16" s="2">
        <v>45991</v>
      </c>
      <c r="H16" s="1" t="s">
        <v>28</v>
      </c>
      <c r="I16" s="1" t="s">
        <v>28</v>
      </c>
      <c r="J16">
        <v>35</v>
      </c>
      <c r="K16" s="1" t="s">
        <v>29</v>
      </c>
      <c r="L16" s="1" t="s">
        <v>28</v>
      </c>
      <c r="O16" s="1" t="s">
        <v>28</v>
      </c>
      <c r="P16" s="1" t="s">
        <v>30</v>
      </c>
      <c r="Q16" s="1" t="s">
        <v>31</v>
      </c>
      <c r="R16" s="1" t="s">
        <v>28</v>
      </c>
      <c r="S16" s="1" t="s">
        <v>28</v>
      </c>
      <c r="T16" s="1" t="s">
        <v>32</v>
      </c>
      <c r="U16" s="1" t="s">
        <v>32</v>
      </c>
      <c r="V16">
        <v>1944379</v>
      </c>
      <c r="W16" s="1" t="s">
        <v>33</v>
      </c>
      <c r="X16" s="1" t="s">
        <v>28</v>
      </c>
      <c r="Y16" s="1" t="s">
        <v>28</v>
      </c>
      <c r="Z16" s="1" t="s">
        <v>28</v>
      </c>
      <c r="AA16" s="1" t="s">
        <v>28</v>
      </c>
    </row>
    <row r="17" spans="1:27" x14ac:dyDescent="0.35">
      <c r="A17" t="s">
        <v>48</v>
      </c>
      <c r="B17">
        <v>367081</v>
      </c>
      <c r="C17" s="1" t="s">
        <v>26</v>
      </c>
      <c r="D17" s="6">
        <v>10477589.880000001</v>
      </c>
      <c r="E17" s="1" t="s">
        <v>27</v>
      </c>
      <c r="F17">
        <v>69309</v>
      </c>
      <c r="G17" s="2">
        <v>45991</v>
      </c>
      <c r="H17" s="1" t="s">
        <v>28</v>
      </c>
      <c r="I17" s="1" t="s">
        <v>28</v>
      </c>
      <c r="J17">
        <v>36</v>
      </c>
      <c r="K17" s="1" t="s">
        <v>29</v>
      </c>
      <c r="L17" s="1" t="s">
        <v>28</v>
      </c>
      <c r="O17" s="1" t="s">
        <v>28</v>
      </c>
      <c r="P17" s="1" t="s">
        <v>34</v>
      </c>
      <c r="Q17" s="1" t="s">
        <v>31</v>
      </c>
      <c r="R17" s="1" t="s">
        <v>28</v>
      </c>
      <c r="S17" s="1" t="s">
        <v>28</v>
      </c>
      <c r="T17" s="1" t="s">
        <v>32</v>
      </c>
      <c r="U17" s="1" t="s">
        <v>32</v>
      </c>
      <c r="V17">
        <v>1944379</v>
      </c>
      <c r="W17" s="1" t="s">
        <v>33</v>
      </c>
      <c r="X17" s="1" t="s">
        <v>28</v>
      </c>
      <c r="Y17" s="1" t="s">
        <v>28</v>
      </c>
      <c r="Z17" s="1" t="s">
        <v>28</v>
      </c>
      <c r="AA17" s="1" t="s">
        <v>28</v>
      </c>
    </row>
    <row r="18" spans="1:27" x14ac:dyDescent="0.35">
      <c r="A18" t="s">
        <v>48</v>
      </c>
      <c r="B18">
        <v>439940</v>
      </c>
      <c r="C18" s="1" t="s">
        <v>26</v>
      </c>
      <c r="D18" s="6">
        <v>-4338127.24</v>
      </c>
      <c r="E18" s="1" t="s">
        <v>27</v>
      </c>
      <c r="F18">
        <v>69309</v>
      </c>
      <c r="G18" s="2">
        <v>45991</v>
      </c>
      <c r="H18" s="1" t="s">
        <v>28</v>
      </c>
      <c r="I18" s="1" t="s">
        <v>28</v>
      </c>
      <c r="J18">
        <v>37</v>
      </c>
      <c r="K18" s="1" t="s">
        <v>29</v>
      </c>
      <c r="L18" s="1" t="s">
        <v>28</v>
      </c>
      <c r="O18" s="1" t="s">
        <v>28</v>
      </c>
      <c r="P18" s="1" t="s">
        <v>30</v>
      </c>
      <c r="Q18" s="1" t="s">
        <v>31</v>
      </c>
      <c r="R18" s="1" t="s">
        <v>28</v>
      </c>
      <c r="S18" s="1" t="s">
        <v>28</v>
      </c>
      <c r="T18" s="1" t="s">
        <v>32</v>
      </c>
      <c r="U18" s="1" t="s">
        <v>32</v>
      </c>
      <c r="V18">
        <v>1944379</v>
      </c>
      <c r="W18" s="1" t="s">
        <v>33</v>
      </c>
      <c r="X18" s="1" t="s">
        <v>28</v>
      </c>
      <c r="Y18" s="1" t="s">
        <v>28</v>
      </c>
      <c r="Z18" s="1" t="s">
        <v>28</v>
      </c>
      <c r="AA18" s="1" t="s">
        <v>28</v>
      </c>
    </row>
    <row r="19" spans="1:27" x14ac:dyDescent="0.35">
      <c r="A19" t="s">
        <v>48</v>
      </c>
      <c r="B19">
        <v>415954</v>
      </c>
      <c r="C19" s="1" t="s">
        <v>26</v>
      </c>
      <c r="D19" s="6">
        <v>4338127.24</v>
      </c>
      <c r="E19" s="1" t="s">
        <v>27</v>
      </c>
      <c r="F19">
        <v>69309</v>
      </c>
      <c r="G19" s="2">
        <v>45991</v>
      </c>
      <c r="H19" s="1" t="s">
        <v>28</v>
      </c>
      <c r="I19" s="1" t="s">
        <v>28</v>
      </c>
      <c r="J19">
        <v>38</v>
      </c>
      <c r="K19" s="1" t="s">
        <v>29</v>
      </c>
      <c r="L19" s="1" t="s">
        <v>28</v>
      </c>
      <c r="O19" s="1" t="s">
        <v>28</v>
      </c>
      <c r="P19" s="1" t="s">
        <v>34</v>
      </c>
      <c r="Q19" s="1" t="s">
        <v>31</v>
      </c>
      <c r="R19" s="1" t="s">
        <v>28</v>
      </c>
      <c r="S19" s="1" t="s">
        <v>28</v>
      </c>
      <c r="T19" s="1" t="s">
        <v>32</v>
      </c>
      <c r="U19" s="1" t="s">
        <v>32</v>
      </c>
      <c r="V19">
        <v>1944379</v>
      </c>
      <c r="W19" s="1" t="s">
        <v>33</v>
      </c>
      <c r="X19" s="1" t="s">
        <v>28</v>
      </c>
      <c r="Y19" s="1" t="s">
        <v>28</v>
      </c>
      <c r="Z19" s="1" t="s">
        <v>28</v>
      </c>
      <c r="AA19" s="1" t="s">
        <v>28</v>
      </c>
    </row>
    <row r="20" spans="1:27" x14ac:dyDescent="0.35">
      <c r="A20" t="s">
        <v>48</v>
      </c>
      <c r="B20">
        <v>439940</v>
      </c>
      <c r="C20" s="1" t="s">
        <v>26</v>
      </c>
      <c r="D20" s="6">
        <v>-2647643.2200000002</v>
      </c>
      <c r="E20" s="1" t="s">
        <v>27</v>
      </c>
      <c r="F20">
        <v>69309</v>
      </c>
      <c r="G20" s="2">
        <v>45991</v>
      </c>
      <c r="H20" s="1" t="s">
        <v>28</v>
      </c>
      <c r="I20" s="1" t="s">
        <v>28</v>
      </c>
      <c r="J20">
        <v>39</v>
      </c>
      <c r="K20" s="1" t="s">
        <v>29</v>
      </c>
      <c r="L20" s="1" t="s">
        <v>28</v>
      </c>
      <c r="O20" s="1" t="s">
        <v>28</v>
      </c>
      <c r="P20" s="1" t="s">
        <v>30</v>
      </c>
      <c r="Q20" s="1" t="s">
        <v>31</v>
      </c>
      <c r="R20" s="1" t="s">
        <v>28</v>
      </c>
      <c r="S20" s="1" t="s">
        <v>28</v>
      </c>
      <c r="T20" s="1" t="s">
        <v>32</v>
      </c>
      <c r="U20" s="1" t="s">
        <v>32</v>
      </c>
      <c r="V20">
        <v>1944379</v>
      </c>
      <c r="W20" s="1" t="s">
        <v>33</v>
      </c>
      <c r="X20" s="1" t="s">
        <v>28</v>
      </c>
      <c r="Y20" s="1" t="s">
        <v>28</v>
      </c>
      <c r="Z20" s="1" t="s">
        <v>28</v>
      </c>
      <c r="AA20" s="1" t="s">
        <v>28</v>
      </c>
    </row>
    <row r="21" spans="1:27" x14ac:dyDescent="0.35">
      <c r="A21" t="s">
        <v>48</v>
      </c>
      <c r="B21">
        <v>428876</v>
      </c>
      <c r="C21" s="1" t="s">
        <v>26</v>
      </c>
      <c r="D21" s="6">
        <v>2647643.2200000002</v>
      </c>
      <c r="E21" s="1" t="s">
        <v>27</v>
      </c>
      <c r="F21">
        <v>69309</v>
      </c>
      <c r="G21" s="2">
        <v>45991</v>
      </c>
      <c r="H21" s="1" t="s">
        <v>28</v>
      </c>
      <c r="I21" s="1" t="s">
        <v>28</v>
      </c>
      <c r="J21">
        <v>40</v>
      </c>
      <c r="K21" s="1" t="s">
        <v>29</v>
      </c>
      <c r="L21" s="1" t="s">
        <v>28</v>
      </c>
      <c r="O21" s="1" t="s">
        <v>28</v>
      </c>
      <c r="P21" s="1" t="s">
        <v>34</v>
      </c>
      <c r="Q21" s="1" t="s">
        <v>31</v>
      </c>
      <c r="R21" s="1" t="s">
        <v>28</v>
      </c>
      <c r="S21" s="1" t="s">
        <v>28</v>
      </c>
      <c r="T21" s="1" t="s">
        <v>32</v>
      </c>
      <c r="U21" s="1" t="s">
        <v>32</v>
      </c>
      <c r="V21">
        <v>1944379</v>
      </c>
      <c r="W21" s="1" t="s">
        <v>33</v>
      </c>
      <c r="X21" s="1" t="s">
        <v>28</v>
      </c>
      <c r="Y21" s="1" t="s">
        <v>28</v>
      </c>
      <c r="Z21" s="1" t="s">
        <v>28</v>
      </c>
      <c r="AA21" s="1" t="s">
        <v>28</v>
      </c>
    </row>
    <row r="22" spans="1:27" x14ac:dyDescent="0.35">
      <c r="A22" t="s">
        <v>48</v>
      </c>
      <c r="B22">
        <v>439941</v>
      </c>
      <c r="C22" s="1" t="s">
        <v>26</v>
      </c>
      <c r="D22" s="6">
        <v>-2564283.73</v>
      </c>
      <c r="E22" s="1" t="s">
        <v>27</v>
      </c>
      <c r="F22">
        <v>69311</v>
      </c>
      <c r="G22" s="2">
        <v>45991</v>
      </c>
      <c r="H22" s="1" t="s">
        <v>28</v>
      </c>
      <c r="I22" s="1" t="s">
        <v>28</v>
      </c>
      <c r="J22">
        <v>5</v>
      </c>
      <c r="K22" s="1" t="s">
        <v>29</v>
      </c>
      <c r="L22" s="1" t="s">
        <v>28</v>
      </c>
      <c r="O22" s="1" t="s">
        <v>28</v>
      </c>
      <c r="P22" s="1" t="s">
        <v>35</v>
      </c>
      <c r="Q22" s="1" t="s">
        <v>31</v>
      </c>
      <c r="R22" s="1" t="s">
        <v>28</v>
      </c>
      <c r="S22" s="1" t="s">
        <v>28</v>
      </c>
      <c r="T22" s="1" t="s">
        <v>32</v>
      </c>
      <c r="U22" s="1" t="s">
        <v>32</v>
      </c>
      <c r="V22">
        <v>1944391</v>
      </c>
      <c r="W22" s="1" t="s">
        <v>33</v>
      </c>
      <c r="X22" s="1" t="s">
        <v>28</v>
      </c>
      <c r="Y22" s="1" t="s">
        <v>28</v>
      </c>
      <c r="Z22" s="1" t="s">
        <v>28</v>
      </c>
      <c r="AA22" s="1" t="s">
        <v>28</v>
      </c>
    </row>
    <row r="23" spans="1:27" x14ac:dyDescent="0.35">
      <c r="A23" t="s">
        <v>48</v>
      </c>
      <c r="B23">
        <v>260227</v>
      </c>
      <c r="C23" s="1" t="s">
        <v>26</v>
      </c>
      <c r="D23" s="6">
        <v>2564283.73</v>
      </c>
      <c r="E23" s="1" t="s">
        <v>27</v>
      </c>
      <c r="F23">
        <v>69311</v>
      </c>
      <c r="G23" s="2">
        <v>45991</v>
      </c>
      <c r="H23" s="1" t="s">
        <v>28</v>
      </c>
      <c r="I23" s="1" t="s">
        <v>28</v>
      </c>
      <c r="J23">
        <v>6</v>
      </c>
      <c r="K23" s="1" t="s">
        <v>29</v>
      </c>
      <c r="L23" s="1" t="s">
        <v>28</v>
      </c>
      <c r="O23" s="1" t="s">
        <v>28</v>
      </c>
      <c r="P23" s="1" t="s">
        <v>34</v>
      </c>
      <c r="Q23" s="1" t="s">
        <v>31</v>
      </c>
      <c r="R23" s="1" t="s">
        <v>28</v>
      </c>
      <c r="S23" s="1" t="s">
        <v>28</v>
      </c>
      <c r="T23" s="1" t="s">
        <v>32</v>
      </c>
      <c r="U23" s="1" t="s">
        <v>32</v>
      </c>
      <c r="V23">
        <v>1944391</v>
      </c>
      <c r="W23" s="1" t="s">
        <v>33</v>
      </c>
      <c r="X23" s="1" t="s">
        <v>28</v>
      </c>
      <c r="Y23" s="1" t="s">
        <v>28</v>
      </c>
      <c r="Z23" s="1" t="s">
        <v>28</v>
      </c>
      <c r="AA23" s="1" t="s">
        <v>28</v>
      </c>
    </row>
    <row r="24" spans="1:27" x14ac:dyDescent="0.35">
      <c r="A24" t="s">
        <v>48</v>
      </c>
      <c r="B24">
        <v>439941</v>
      </c>
      <c r="C24" s="1" t="s">
        <v>26</v>
      </c>
      <c r="D24" s="6">
        <v>-6297212.7300000004</v>
      </c>
      <c r="E24" s="1" t="s">
        <v>27</v>
      </c>
      <c r="F24">
        <v>69311</v>
      </c>
      <c r="G24" s="2">
        <v>45991</v>
      </c>
      <c r="H24" s="1" t="s">
        <v>28</v>
      </c>
      <c r="I24" s="1" t="s">
        <v>28</v>
      </c>
      <c r="J24">
        <v>7</v>
      </c>
      <c r="K24" s="1" t="s">
        <v>29</v>
      </c>
      <c r="L24" s="1" t="s">
        <v>28</v>
      </c>
      <c r="O24" s="1" t="s">
        <v>28</v>
      </c>
      <c r="P24" s="1" t="s">
        <v>35</v>
      </c>
      <c r="Q24" s="1" t="s">
        <v>31</v>
      </c>
      <c r="R24" s="1" t="s">
        <v>28</v>
      </c>
      <c r="S24" s="1" t="s">
        <v>28</v>
      </c>
      <c r="T24" s="1" t="s">
        <v>32</v>
      </c>
      <c r="U24" s="1" t="s">
        <v>32</v>
      </c>
      <c r="V24">
        <v>1944391</v>
      </c>
      <c r="W24" s="1" t="s">
        <v>33</v>
      </c>
      <c r="X24" s="1" t="s">
        <v>28</v>
      </c>
      <c r="Y24" s="1" t="s">
        <v>28</v>
      </c>
      <c r="Z24" s="1" t="s">
        <v>28</v>
      </c>
      <c r="AA24" s="1" t="s">
        <v>28</v>
      </c>
    </row>
    <row r="25" spans="1:27" x14ac:dyDescent="0.35">
      <c r="A25" t="s">
        <v>48</v>
      </c>
      <c r="B25">
        <v>262527</v>
      </c>
      <c r="C25" s="1" t="s">
        <v>26</v>
      </c>
      <c r="D25" s="6">
        <v>6297212.7300000004</v>
      </c>
      <c r="E25" s="1" t="s">
        <v>27</v>
      </c>
      <c r="F25">
        <v>69311</v>
      </c>
      <c r="G25" s="2">
        <v>45991</v>
      </c>
      <c r="H25" s="1" t="s">
        <v>28</v>
      </c>
      <c r="I25" s="1" t="s">
        <v>28</v>
      </c>
      <c r="J25">
        <v>8</v>
      </c>
      <c r="K25" s="1" t="s">
        <v>29</v>
      </c>
      <c r="L25" s="1" t="s">
        <v>28</v>
      </c>
      <c r="O25" s="1" t="s">
        <v>28</v>
      </c>
      <c r="P25" s="1" t="s">
        <v>34</v>
      </c>
      <c r="Q25" s="1" t="s">
        <v>31</v>
      </c>
      <c r="R25" s="1" t="s">
        <v>28</v>
      </c>
      <c r="S25" s="1" t="s">
        <v>28</v>
      </c>
      <c r="T25" s="1" t="s">
        <v>32</v>
      </c>
      <c r="U25" s="1" t="s">
        <v>32</v>
      </c>
      <c r="V25">
        <v>1944391</v>
      </c>
      <c r="W25" s="1" t="s">
        <v>33</v>
      </c>
      <c r="X25" s="1" t="s">
        <v>28</v>
      </c>
      <c r="Y25" s="1" t="s">
        <v>28</v>
      </c>
      <c r="Z25" s="1" t="s">
        <v>28</v>
      </c>
      <c r="AA25" s="1" t="s">
        <v>28</v>
      </c>
    </row>
    <row r="26" spans="1:27" x14ac:dyDescent="0.35">
      <c r="A26" t="s">
        <v>48</v>
      </c>
      <c r="C26" s="1" t="s">
        <v>36</v>
      </c>
      <c r="D26" s="6">
        <v>9349850</v>
      </c>
      <c r="E26" s="1" t="s">
        <v>37</v>
      </c>
      <c r="F26">
        <v>203946</v>
      </c>
      <c r="G26" s="2">
        <v>45974</v>
      </c>
      <c r="H26" s="1" t="s">
        <v>28</v>
      </c>
      <c r="I26" s="1" t="s">
        <v>28</v>
      </c>
      <c r="J26">
        <v>58</v>
      </c>
      <c r="K26" s="1" t="s">
        <v>38</v>
      </c>
      <c r="L26" s="1" t="s">
        <v>28</v>
      </c>
      <c r="N26">
        <v>9349850</v>
      </c>
      <c r="O26" s="1" t="s">
        <v>28</v>
      </c>
      <c r="P26" s="1" t="s">
        <v>39</v>
      </c>
      <c r="Q26" s="1" t="s">
        <v>31</v>
      </c>
      <c r="R26" s="1" t="s">
        <v>28</v>
      </c>
      <c r="S26" s="1" t="s">
        <v>28</v>
      </c>
      <c r="T26" s="1" t="s">
        <v>32</v>
      </c>
      <c r="U26" s="1" t="s">
        <v>32</v>
      </c>
      <c r="V26">
        <v>1939021</v>
      </c>
      <c r="W26" s="1" t="s">
        <v>33</v>
      </c>
      <c r="X26" s="1" t="s">
        <v>28</v>
      </c>
      <c r="AA26" s="1" t="s">
        <v>40</v>
      </c>
    </row>
    <row r="27" spans="1:27" x14ac:dyDescent="0.35">
      <c r="A27" t="s">
        <v>49</v>
      </c>
      <c r="C27" s="1" t="s">
        <v>41</v>
      </c>
      <c r="D27" s="6">
        <v>19204391</v>
      </c>
      <c r="E27" s="1" t="s">
        <v>37</v>
      </c>
      <c r="F27">
        <v>204105</v>
      </c>
      <c r="G27" s="2">
        <v>45979</v>
      </c>
      <c r="H27" s="1" t="s">
        <v>28</v>
      </c>
      <c r="I27" s="1" t="s">
        <v>28</v>
      </c>
      <c r="J27">
        <v>10</v>
      </c>
      <c r="K27" s="1" t="s">
        <v>42</v>
      </c>
      <c r="L27" s="1" t="s">
        <v>28</v>
      </c>
      <c r="N27">
        <v>19204391</v>
      </c>
      <c r="O27" s="1" t="s">
        <v>28</v>
      </c>
      <c r="P27" s="1" t="s">
        <v>39</v>
      </c>
      <c r="Q27" s="1" t="s">
        <v>31</v>
      </c>
      <c r="R27" s="1" t="s">
        <v>28</v>
      </c>
      <c r="S27" s="1" t="s">
        <v>28</v>
      </c>
      <c r="T27" s="1" t="s">
        <v>32</v>
      </c>
      <c r="U27" s="1" t="s">
        <v>32</v>
      </c>
      <c r="V27">
        <v>1940004</v>
      </c>
      <c r="W27" s="1" t="s">
        <v>33</v>
      </c>
      <c r="X27" s="1" t="s">
        <v>28</v>
      </c>
      <c r="AA27" s="1" t="s">
        <v>43</v>
      </c>
    </row>
    <row r="28" spans="1:27" x14ac:dyDescent="0.35">
      <c r="A28" t="s">
        <v>49</v>
      </c>
      <c r="C28" s="1" t="s">
        <v>41</v>
      </c>
      <c r="D28" s="6">
        <v>26371330</v>
      </c>
      <c r="E28" s="1" t="s">
        <v>37</v>
      </c>
      <c r="F28">
        <v>204105</v>
      </c>
      <c r="G28" s="2">
        <v>45979</v>
      </c>
      <c r="H28" s="1" t="s">
        <v>28</v>
      </c>
      <c r="I28" s="1" t="s">
        <v>28</v>
      </c>
      <c r="J28">
        <v>12</v>
      </c>
      <c r="K28" s="1" t="s">
        <v>42</v>
      </c>
      <c r="L28" s="1" t="s">
        <v>28</v>
      </c>
      <c r="N28">
        <v>26371330</v>
      </c>
      <c r="O28" s="1" t="s">
        <v>28</v>
      </c>
      <c r="P28" s="1" t="s">
        <v>39</v>
      </c>
      <c r="Q28" s="1" t="s">
        <v>31</v>
      </c>
      <c r="R28" s="1" t="s">
        <v>28</v>
      </c>
      <c r="S28" s="1" t="s">
        <v>28</v>
      </c>
      <c r="T28" s="1" t="s">
        <v>32</v>
      </c>
      <c r="U28" s="1" t="s">
        <v>32</v>
      </c>
      <c r="V28">
        <v>1940004</v>
      </c>
      <c r="W28" s="1" t="s">
        <v>33</v>
      </c>
      <c r="X28" s="1" t="s">
        <v>28</v>
      </c>
      <c r="AA28" s="1" t="s">
        <v>43</v>
      </c>
    </row>
    <row r="29" spans="1:27" x14ac:dyDescent="0.35">
      <c r="A29" t="s">
        <v>49</v>
      </c>
      <c r="C29" s="1" t="s">
        <v>41</v>
      </c>
      <c r="D29" s="6">
        <v>15611415</v>
      </c>
      <c r="E29" s="1" t="s">
        <v>37</v>
      </c>
      <c r="F29">
        <v>204105</v>
      </c>
      <c r="G29" s="2">
        <v>45979</v>
      </c>
      <c r="H29" s="1" t="s">
        <v>28</v>
      </c>
      <c r="I29" s="1" t="s">
        <v>28</v>
      </c>
      <c r="J29">
        <v>14</v>
      </c>
      <c r="K29" s="1" t="s">
        <v>42</v>
      </c>
      <c r="L29" s="1" t="s">
        <v>28</v>
      </c>
      <c r="N29">
        <v>15611415</v>
      </c>
      <c r="O29" s="1" t="s">
        <v>28</v>
      </c>
      <c r="P29" s="1" t="s">
        <v>39</v>
      </c>
      <c r="Q29" s="1" t="s">
        <v>31</v>
      </c>
      <c r="R29" s="1" t="s">
        <v>28</v>
      </c>
      <c r="S29" s="1" t="s">
        <v>28</v>
      </c>
      <c r="T29" s="1" t="s">
        <v>32</v>
      </c>
      <c r="U29" s="1" t="s">
        <v>32</v>
      </c>
      <c r="V29">
        <v>1940004</v>
      </c>
      <c r="W29" s="1" t="s">
        <v>33</v>
      </c>
      <c r="X29" s="1" t="s">
        <v>28</v>
      </c>
      <c r="AA29" s="1" t="s">
        <v>43</v>
      </c>
    </row>
    <row r="30" spans="1:27" x14ac:dyDescent="0.35">
      <c r="A30" t="s">
        <v>49</v>
      </c>
      <c r="C30" s="1" t="s">
        <v>41</v>
      </c>
      <c r="D30" s="6">
        <v>4080752</v>
      </c>
      <c r="E30" s="1" t="s">
        <v>37</v>
      </c>
      <c r="F30">
        <v>204105</v>
      </c>
      <c r="G30" s="2">
        <v>45979</v>
      </c>
      <c r="H30" s="1" t="s">
        <v>28</v>
      </c>
      <c r="I30" s="1" t="s">
        <v>28</v>
      </c>
      <c r="J30">
        <v>16</v>
      </c>
      <c r="K30" s="1" t="s">
        <v>42</v>
      </c>
      <c r="L30" s="1" t="s">
        <v>28</v>
      </c>
      <c r="N30">
        <v>4080752</v>
      </c>
      <c r="O30" s="1" t="s">
        <v>28</v>
      </c>
      <c r="P30" s="1" t="s">
        <v>39</v>
      </c>
      <c r="Q30" s="1" t="s">
        <v>31</v>
      </c>
      <c r="R30" s="1" t="s">
        <v>28</v>
      </c>
      <c r="S30" s="1" t="s">
        <v>28</v>
      </c>
      <c r="T30" s="1" t="s">
        <v>32</v>
      </c>
      <c r="U30" s="1" t="s">
        <v>32</v>
      </c>
      <c r="V30">
        <v>1940004</v>
      </c>
      <c r="W30" s="1" t="s">
        <v>33</v>
      </c>
      <c r="X30" s="1" t="s">
        <v>28</v>
      </c>
      <c r="AA30" s="1" t="s">
        <v>43</v>
      </c>
    </row>
    <row r="31" spans="1:27" x14ac:dyDescent="0.35">
      <c r="A31" t="s">
        <v>49</v>
      </c>
      <c r="C31" s="1" t="s">
        <v>44</v>
      </c>
      <c r="D31" s="6">
        <v>21499867.93</v>
      </c>
      <c r="E31" s="1" t="s">
        <v>37</v>
      </c>
      <c r="F31">
        <v>204399</v>
      </c>
      <c r="G31" s="2">
        <v>45982</v>
      </c>
      <c r="H31" s="1" t="s">
        <v>28</v>
      </c>
      <c r="I31" s="1" t="s">
        <v>28</v>
      </c>
      <c r="J31">
        <v>2</v>
      </c>
      <c r="K31" s="1" t="s">
        <v>42</v>
      </c>
      <c r="L31" s="1" t="s">
        <v>28</v>
      </c>
      <c r="N31">
        <v>21499867.93</v>
      </c>
      <c r="O31" s="1" t="s">
        <v>28</v>
      </c>
      <c r="P31" s="1" t="s">
        <v>39</v>
      </c>
      <c r="Q31" s="1" t="s">
        <v>31</v>
      </c>
      <c r="R31" s="1" t="s">
        <v>28</v>
      </c>
      <c r="S31" s="1" t="s">
        <v>28</v>
      </c>
      <c r="T31" s="1" t="s">
        <v>32</v>
      </c>
      <c r="U31" s="1" t="s">
        <v>32</v>
      </c>
      <c r="V31">
        <v>1941970</v>
      </c>
      <c r="W31" s="1" t="s">
        <v>33</v>
      </c>
      <c r="X31" s="1" t="s">
        <v>28</v>
      </c>
      <c r="AA31" s="1" t="s">
        <v>45</v>
      </c>
    </row>
    <row r="32" spans="1:27" x14ac:dyDescent="0.35">
      <c r="A32" t="s">
        <v>48</v>
      </c>
      <c r="C32" s="1" t="s">
        <v>36</v>
      </c>
      <c r="D32" s="6">
        <v>1776471.5</v>
      </c>
      <c r="E32" s="1" t="s">
        <v>46</v>
      </c>
      <c r="F32">
        <v>41213</v>
      </c>
      <c r="G32" s="2">
        <v>45974</v>
      </c>
      <c r="H32" s="1" t="s">
        <v>28</v>
      </c>
      <c r="I32" s="1" t="s">
        <v>28</v>
      </c>
      <c r="J32">
        <v>3</v>
      </c>
      <c r="K32" s="1" t="s">
        <v>38</v>
      </c>
      <c r="L32" s="1" t="s">
        <v>28</v>
      </c>
      <c r="O32" s="1" t="s">
        <v>28</v>
      </c>
      <c r="P32" s="1" t="s">
        <v>39</v>
      </c>
      <c r="Q32" s="1" t="s">
        <v>31</v>
      </c>
      <c r="R32" s="1" t="s">
        <v>28</v>
      </c>
      <c r="S32" s="1" t="s">
        <v>28</v>
      </c>
      <c r="T32" s="1" t="s">
        <v>32</v>
      </c>
      <c r="U32" s="1" t="s">
        <v>32</v>
      </c>
      <c r="V32">
        <v>1941999</v>
      </c>
      <c r="W32" s="1" t="s">
        <v>33</v>
      </c>
      <c r="X32" s="1" t="s">
        <v>28</v>
      </c>
      <c r="AA32" s="1" t="s">
        <v>40</v>
      </c>
    </row>
    <row r="33" spans="1:27" x14ac:dyDescent="0.35">
      <c r="A33" t="s">
        <v>49</v>
      </c>
      <c r="C33" s="1" t="s">
        <v>44</v>
      </c>
      <c r="D33" s="6">
        <v>4084974.91</v>
      </c>
      <c r="E33" s="1" t="s">
        <v>46</v>
      </c>
      <c r="F33">
        <v>41269</v>
      </c>
      <c r="G33" s="2">
        <v>45986</v>
      </c>
      <c r="H33" s="1" t="s">
        <v>28</v>
      </c>
      <c r="I33" s="1" t="s">
        <v>28</v>
      </c>
      <c r="J33">
        <v>3</v>
      </c>
      <c r="K33" s="1" t="s">
        <v>42</v>
      </c>
      <c r="L33" s="1" t="s">
        <v>28</v>
      </c>
      <c r="O33" s="1" t="s">
        <v>28</v>
      </c>
      <c r="P33" s="1" t="s">
        <v>39</v>
      </c>
      <c r="Q33" s="1" t="s">
        <v>31</v>
      </c>
      <c r="R33" s="1" t="s">
        <v>28</v>
      </c>
      <c r="S33" s="1" t="s">
        <v>28</v>
      </c>
      <c r="T33" s="1" t="s">
        <v>32</v>
      </c>
      <c r="U33" s="1" t="s">
        <v>32</v>
      </c>
      <c r="V33">
        <v>1944480</v>
      </c>
      <c r="W33" s="1" t="s">
        <v>33</v>
      </c>
      <c r="X33" s="1" t="s">
        <v>28</v>
      </c>
      <c r="AA33" s="1" t="s">
        <v>45</v>
      </c>
    </row>
    <row r="34" spans="1:27" x14ac:dyDescent="0.35">
      <c r="A34" t="s">
        <v>49</v>
      </c>
      <c r="C34" s="1" t="s">
        <v>41</v>
      </c>
      <c r="D34" s="6">
        <v>3648834.29</v>
      </c>
      <c r="E34" s="1" t="s">
        <v>46</v>
      </c>
      <c r="F34">
        <v>41314</v>
      </c>
      <c r="G34" s="2">
        <v>45980</v>
      </c>
      <c r="H34" s="1" t="s">
        <v>28</v>
      </c>
      <c r="I34" s="1" t="s">
        <v>28</v>
      </c>
      <c r="J34">
        <v>3</v>
      </c>
      <c r="K34" s="1" t="s">
        <v>42</v>
      </c>
      <c r="L34" s="1" t="s">
        <v>28</v>
      </c>
      <c r="O34" s="1" t="s">
        <v>28</v>
      </c>
      <c r="P34" s="1" t="s">
        <v>39</v>
      </c>
      <c r="Q34" s="1" t="s">
        <v>31</v>
      </c>
      <c r="R34" s="1" t="s">
        <v>28</v>
      </c>
      <c r="S34" s="1" t="s">
        <v>28</v>
      </c>
      <c r="T34" s="1" t="s">
        <v>32</v>
      </c>
      <c r="U34" s="1" t="s">
        <v>32</v>
      </c>
      <c r="V34">
        <v>1944505</v>
      </c>
      <c r="W34" s="1" t="s">
        <v>33</v>
      </c>
      <c r="X34" s="1" t="s">
        <v>28</v>
      </c>
      <c r="AA34" s="1" t="s">
        <v>43</v>
      </c>
    </row>
    <row r="35" spans="1:27" x14ac:dyDescent="0.35">
      <c r="A35" t="s">
        <v>49</v>
      </c>
      <c r="C35" s="1" t="s">
        <v>41</v>
      </c>
      <c r="D35" s="6">
        <v>5010552.7</v>
      </c>
      <c r="E35" s="1" t="s">
        <v>46</v>
      </c>
      <c r="F35">
        <v>41314</v>
      </c>
      <c r="G35" s="2">
        <v>45980</v>
      </c>
      <c r="H35" s="1" t="s">
        <v>28</v>
      </c>
      <c r="I35" s="1" t="s">
        <v>28</v>
      </c>
      <c r="J35">
        <v>5</v>
      </c>
      <c r="K35" s="1" t="s">
        <v>42</v>
      </c>
      <c r="L35" s="1" t="s">
        <v>28</v>
      </c>
      <c r="O35" s="1" t="s">
        <v>28</v>
      </c>
      <c r="P35" s="1" t="s">
        <v>39</v>
      </c>
      <c r="Q35" s="1" t="s">
        <v>31</v>
      </c>
      <c r="R35" s="1" t="s">
        <v>28</v>
      </c>
      <c r="S35" s="1" t="s">
        <v>28</v>
      </c>
      <c r="T35" s="1" t="s">
        <v>32</v>
      </c>
      <c r="U35" s="1" t="s">
        <v>32</v>
      </c>
      <c r="V35">
        <v>1944505</v>
      </c>
      <c r="W35" s="1" t="s">
        <v>33</v>
      </c>
      <c r="X35" s="1" t="s">
        <v>28</v>
      </c>
      <c r="AA35" s="1" t="s">
        <v>43</v>
      </c>
    </row>
    <row r="36" spans="1:27" x14ac:dyDescent="0.35">
      <c r="A36" t="s">
        <v>49</v>
      </c>
      <c r="C36" s="1" t="s">
        <v>41</v>
      </c>
      <c r="D36" s="6">
        <v>2966168.85</v>
      </c>
      <c r="E36" s="1" t="s">
        <v>46</v>
      </c>
      <c r="F36">
        <v>41314</v>
      </c>
      <c r="G36" s="2">
        <v>45980</v>
      </c>
      <c r="H36" s="1" t="s">
        <v>28</v>
      </c>
      <c r="I36" s="1" t="s">
        <v>28</v>
      </c>
      <c r="J36">
        <v>7</v>
      </c>
      <c r="K36" s="1" t="s">
        <v>42</v>
      </c>
      <c r="L36" s="1" t="s">
        <v>28</v>
      </c>
      <c r="O36" s="1" t="s">
        <v>28</v>
      </c>
      <c r="P36" s="1" t="s">
        <v>39</v>
      </c>
      <c r="Q36" s="1" t="s">
        <v>31</v>
      </c>
      <c r="R36" s="1" t="s">
        <v>28</v>
      </c>
      <c r="S36" s="1" t="s">
        <v>28</v>
      </c>
      <c r="T36" s="1" t="s">
        <v>32</v>
      </c>
      <c r="U36" s="1" t="s">
        <v>32</v>
      </c>
      <c r="V36">
        <v>1944505</v>
      </c>
      <c r="W36" s="1" t="s">
        <v>33</v>
      </c>
      <c r="X36" s="1" t="s">
        <v>28</v>
      </c>
      <c r="AA36" s="1" t="s">
        <v>43</v>
      </c>
    </row>
    <row r="37" spans="1:27" x14ac:dyDescent="0.35">
      <c r="A37" t="s">
        <v>49</v>
      </c>
      <c r="C37" s="1" t="s">
        <v>41</v>
      </c>
      <c r="D37" s="6">
        <v>775342.88</v>
      </c>
      <c r="E37" s="1" t="s">
        <v>46</v>
      </c>
      <c r="F37">
        <v>41314</v>
      </c>
      <c r="G37" s="2">
        <v>45980</v>
      </c>
      <c r="H37" s="1" t="s">
        <v>28</v>
      </c>
      <c r="I37" s="1" t="s">
        <v>28</v>
      </c>
      <c r="J37">
        <v>9</v>
      </c>
      <c r="K37" s="1" t="s">
        <v>42</v>
      </c>
      <c r="L37" s="1" t="s">
        <v>28</v>
      </c>
      <c r="O37" s="1" t="s">
        <v>28</v>
      </c>
      <c r="P37" s="1" t="s">
        <v>39</v>
      </c>
      <c r="Q37" s="1" t="s">
        <v>31</v>
      </c>
      <c r="R37" s="1" t="s">
        <v>28</v>
      </c>
      <c r="S37" s="1" t="s">
        <v>28</v>
      </c>
      <c r="T37" s="1" t="s">
        <v>32</v>
      </c>
      <c r="U37" s="1" t="s">
        <v>32</v>
      </c>
      <c r="V37">
        <v>1944505</v>
      </c>
      <c r="W37" s="1" t="s">
        <v>33</v>
      </c>
      <c r="X37" s="1" t="s">
        <v>28</v>
      </c>
      <c r="AA37" s="1" t="s">
        <v>43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Trans. Pte X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STELLA LACHE HERAZO</dc:creator>
  <cp:lastModifiedBy>LIBIA STELLA LACHE HERAZO</cp:lastModifiedBy>
  <dcterms:created xsi:type="dcterms:W3CDTF">2025-11-30T18:14:36Z</dcterms:created>
  <dcterms:modified xsi:type="dcterms:W3CDTF">2025-11-30T18:14:47Z</dcterms:modified>
</cp:coreProperties>
</file>