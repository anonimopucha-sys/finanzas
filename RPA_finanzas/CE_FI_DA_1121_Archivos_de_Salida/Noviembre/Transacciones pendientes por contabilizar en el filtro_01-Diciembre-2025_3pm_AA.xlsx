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7F33BC1C-F945-44AE-A16D-9FA540069879}" xr6:coauthVersionLast="47" xr6:coauthVersionMax="47" xr10:uidLastSave="{00000000-0000-0000-0000-000000000000}"/>
  <bookViews>
    <workbookView xWindow="28680" yWindow="-120" windowWidth="24240" windowHeight="13020" activeTab="1" xr2:uid="{76881187-E42F-422E-A543-C1DADDE2BEA9}"/>
  </bookViews>
  <sheets>
    <sheet name="Hoja2" sheetId="2" r:id="rId1"/>
    <sheet name="Sheet1" sheetId="1" r:id="rId2"/>
  </sheets>
  <definedNames>
    <definedName name="_xlnm._FilterDatabase" localSheetId="1" hidden="1">Sheet1!$A$1:$AB$23</definedName>
  </definedNames>
  <calcPr calcId="191029"/>
  <pivotCaches>
    <pivotCache cacheId="3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<sst xmlns="http://schemas.openxmlformats.org/spreadsheetml/2006/main" count="468" uniqueCount="76">
  <si>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</si>
  <si>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</si>
  <si>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</si>
  <si>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</si>
  <si>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</si>
  <si>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</si>
  <si>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</si>
  <si>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</si>
  <si>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</si>
  <si>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</si>
  <si>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</si>
  <si>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</si>
  <si>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</si>
  <si>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</si>
  <si>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</si>
  <si>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</si>
  <si>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</si>
  <si>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</si>
  <si>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</si>
  <si>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</si>
  <si>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</si>
  <si>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</si>
  <si>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</si>
  <si>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</si>
  <si>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</si>
  <si>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</si>
  <si>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 xml:space="preserve"> </t>
  </si>
  <si>
    <t>AA</t>
  </si>
  <si>
    <t>00533</t>
  </si>
  <si>
    <t xml:space="preserve">        0533.165002.02010101</t>
  </si>
  <si>
    <t>J4</t>
  </si>
  <si>
    <t>Interfaz Deuda JDE</t>
  </si>
  <si>
    <t xml:space="preserve"> 33SUBTONCHA.161514.02300456</t>
  </si>
  <si>
    <t>A</t>
  </si>
  <si>
    <t>00034543</t>
  </si>
  <si>
    <t>00598</t>
  </si>
  <si>
    <t>G</t>
  </si>
  <si>
    <t>00007681</t>
  </si>
  <si>
    <t>AJ IVA RECONOC REQ000003175538</t>
  </si>
  <si>
    <t>JE</t>
  </si>
  <si>
    <t xml:space="preserve">    33MCIAPY.161505.02491054</t>
  </si>
  <si>
    <t>AGUACHICA</t>
  </si>
  <si>
    <t>OV</t>
  </si>
  <si>
    <t>BAEZ ANA CLOVIS</t>
  </si>
  <si>
    <t>O</t>
  </si>
  <si>
    <t>00103973</t>
  </si>
  <si>
    <t>00104190</t>
  </si>
  <si>
    <t>REQ000003205799_División Olger</t>
  </si>
  <si>
    <t>SUMIMAS S A S</t>
  </si>
  <si>
    <t xml:space="preserve">        0598.167002.02010102</t>
  </si>
  <si>
    <t>00104551</t>
  </si>
  <si>
    <t>WORKSTATION PORTATIL</t>
  </si>
  <si>
    <t>Indemnización activo 20611 hur</t>
  </si>
  <si>
    <t>SEGUROS GENERALES SURAMERICANA</t>
  </si>
  <si>
    <t xml:space="preserve">        0533.167502.02010101</t>
  </si>
  <si>
    <t>00104729</t>
  </si>
  <si>
    <t>TRANSPORTES Y TALLERES</t>
  </si>
  <si>
    <t>TRANSPORTE INTEGRAL NOR ORIENT</t>
  </si>
  <si>
    <t>331REPOPRIMC.161505.02052026</t>
  </si>
  <si>
    <t>00104754</t>
  </si>
  <si>
    <t>33REPOLINEAS.161505.02092026</t>
  </si>
  <si>
    <t>COMPUTADOR PORTATIL 14"</t>
  </si>
  <si>
    <t>PV</t>
  </si>
  <si>
    <t>V</t>
  </si>
  <si>
    <t>RESPONSABLE</t>
  </si>
  <si>
    <t>SUBESTACIONES</t>
  </si>
  <si>
    <t>UGO</t>
  </si>
  <si>
    <t>T.I</t>
  </si>
  <si>
    <t>COMERCIAL</t>
  </si>
  <si>
    <t>USSA - GEOVANNY PALACIOS</t>
  </si>
  <si>
    <t>DISTRIBUCIÓN</t>
  </si>
  <si>
    <t>PROYECTOS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</si>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</sst>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  <xf numFmtId="43" fontId="18" fillId="0" borderId="0" xfId="1" applyFont="1" applyFill="1" applyBorder="1" applyAlignment="1" applyProtection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yyyy/mm/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92.647813078707" createdVersion="8" refreshedVersion="8" minRefreshableVersion="3" recordCount="22" xr:uid="{0AFE0763-995A-4CE3-871D-9BB27633875D}">
  <cacheSource type="worksheet">
    <worksheetSource name="Tabla1"/>
  </cacheSource>
  <cacheFields count="28">
    <cacheField name="RESPONSABLE" numFmtId="0">
      <sharedItems count="8">
        <s v="SUBESTACIONES"/>
        <s v="UGO"/>
        <s v="COMERCIAL"/>
        <s v="T.I"/>
        <s v="USSA - GEOVANNY PALACIOS"/>
        <s v="DISTRIBUCIÓN"/>
        <s v="PROYECTOS"/>
        <s v="ALMACENES" u="1"/>
      </sharedItems>
    </cacheField>
    <cacheField name="Número activo" numFmtId="0">
      <sharedItems containsString="0" containsBlank="1" containsNumber="1" containsInteger="1" minValue="311316" maxValue="468342"/>
    </cacheField>
    <cacheField name="Explicación" numFmtId="49">
      <sharedItems/>
    </cacheField>
    <cacheField name="Importe                     " numFmtId="0">
      <sharedItems containsSemiMixedTypes="0" containsString="0" containsNumber="1" minValue="-86943954" maxValue="310498472.89999998"/>
    </cacheField>
    <cacheField name="Tipo doc" numFmtId="49">
      <sharedItems count="5">
        <s v="J4"/>
        <s v="JE"/>
        <s v="OV"/>
        <s v="PV"/>
        <s v="KZ" u="1"/>
      </sharedItems>
    </cacheField>
    <cacheField name="Número documento" numFmtId="0">
      <sharedItems containsSemiMixedTypes="0" containsString="0" containsNumber="1" containsInteger="1" minValue="9292" maxValue="204918"/>
    </cacheField>
    <cacheField name="Fecha libro mayor" numFmtId="168">
      <sharedItems containsSemiMixedTypes="0" containsNonDate="0" containsDate="1" containsString="0" minDate="2025-11-10T00:00:00" maxDate="2025-12-01T00:00:00"/>
    </cacheField>
    <cacheField name="Cd rtn" numFmtId="49">
      <sharedItems/>
    </cacheField>
    <cacheField name="Cd contzn" numFmtId="49">
      <sharedItems/>
    </cacheField>
    <cacheField name="Número línea" numFmtId="0">
      <sharedItems containsSemiMixedTypes="0" containsString="0" containsNumber="1" containsInteger="1" minValue="1" maxValue="29"/>
    </cacheField>
    <cacheField name="Explicación2" numFmtId="49">
      <sharedItems/>
    </cacheField>
    <cacheField name="Cd fact" numFmtId="49">
      <sharedItems/>
    </cacheField>
    <cacheField name="Código DOI" numFmtId="0">
      <sharedItems containsNonDate="0" containsString="0" containsBlank="1"/>
    </cacheField>
    <cacheField name="Unidades" numFmtId="0">
      <sharedItems containsString="0" containsBlank="1" containsNumber="1" containsInteger="1" minValue="-86943954" maxValue="86943954"/>
    </cacheField>
    <cacheField name="UM" numFmtId="49">
      <sharedItems/>
    </cacheField>
    <cacheField name="Cuenta" numFmtId="49">
      <sharedItems count="12">
        <s v=" 33SUBTONCHA.161514.02300456"/>
        <s v="    33MCIAPY.161505.02491054"/>
        <s v="        0533.165002.02010101"/>
        <s v="        0598.167002.02010102"/>
        <s v="        0533.167502.02010101"/>
        <s v="331REPOPRIMC.161505.02052026"/>
        <s v="33REPOLINEAS.161505.02092026"/>
        <s v="    33MCIAPY.161505.02491052" u="1"/>
        <s v="    33MCIAPY.161504.02491052" u="1"/>
        <s v="    33MCIAPY.161505.02491181" u="1"/>
        <s v="        0533.163507.02010101" u="1"/>
        <s v="        0533.164512.02300267" u="1"/>
      </sharedItems>
    </cacheField>
    <cacheField name="Tipo LM" numFmtId="49">
      <sharedItems/>
    </cacheField>
    <cacheField name="Tp LM aux" numFmtId="49">
      <sharedItems/>
    </cacheField>
    <cacheField name="Libro mayor auxiliar" numFmtId="49">
      <sharedItems/>
    </cacheField>
    <cacheField name="Compañía documento" numFmtId="49">
      <sharedItems/>
    </cacheField>
    <cacheField name="Compañía" numFmtId="49">
      <sharedItems/>
    </cacheField>
    <cacheField name="Número batch" numFmtId="0">
      <sharedItems containsSemiMixedTypes="0" containsString="0" containsNumber="1" containsInteger="1" minValue="1937530" maxValue="1944733"/>
    </cacheField>
    <cacheField name="Tipo batch" numFmtId="49">
      <sharedItems/>
    </cacheField>
    <cacheField name="Extensión línea" numFmtId="49">
      <sharedItems/>
    </cacheField>
    <cacheField name="Número unidad" numFmtId="49">
      <sharedItems containsBlank="1"/>
    </cacheField>
    <cacheField name="Número serie" numFmtId="49">
      <sharedItems containsBlank="1"/>
    </cacheField>
    <cacheField name="Orden de compra" numFmtId="49">
      <sharedItems/>
    </cacheField>
    <cacheField name="Importe de monedas" numFmtId="0">
      <sharedItems containsString="0" containsBlank="1" containsNumber="1" minValue="9279.7800000000007" maxValue="48840.95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459382"/>
    <s v=" "/>
    <n v="87261.51"/>
    <x v="0"/>
    <n v="40150"/>
    <d v="2025-11-30T00:00:00"/>
    <s v=" "/>
    <s v=" "/>
    <n v="9"/>
    <s v="Interfaz Deuda JDE"/>
    <s v=" "/>
    <m/>
    <m/>
    <s v=" "/>
    <x v="0"/>
    <s v="AA"/>
    <s v="A"/>
    <s v="00034543"/>
    <s v="00598"/>
    <s v="00533"/>
    <n v="1944733"/>
    <s v="G"/>
    <s v=" "/>
    <s v=" "/>
    <s v=" "/>
    <s v=" "/>
    <m/>
  </r>
  <r>
    <x v="0"/>
    <n v="459382"/>
    <s v=" "/>
    <n v="86450.15"/>
    <x v="0"/>
    <n v="40151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0"/>
    <n v="459382"/>
    <s v=" "/>
    <n v="154798.14000000001"/>
    <x v="0"/>
    <n v="40152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0"/>
    <n v="459382"/>
    <s v=" "/>
    <n v="-357996.29"/>
    <x v="0"/>
    <n v="40154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0"/>
    <n v="459382"/>
    <s v=" "/>
    <n v="1774671.92"/>
    <x v="0"/>
    <n v="40263"/>
    <d v="2025-11-30T00:00:00"/>
    <s v=" "/>
    <s v=" "/>
    <n v="9"/>
    <s v="Interfaz Deuda JDE"/>
    <s v=" "/>
    <m/>
    <m/>
    <s v=" "/>
    <x v="0"/>
    <s v="AA"/>
    <s v="A"/>
    <s v="00034543"/>
    <s v="00598"/>
    <s v="00533"/>
    <n v="1944733"/>
    <s v="G"/>
    <s v=" "/>
    <s v=" "/>
    <s v=" "/>
    <s v=" "/>
    <m/>
  </r>
  <r>
    <x v="0"/>
    <n v="459382"/>
    <s v=" "/>
    <n v="1776080.19"/>
    <x v="0"/>
    <n v="40264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0"/>
    <n v="459382"/>
    <s v=" "/>
    <n v="5384211.5199999996"/>
    <x v="0"/>
    <n v="40265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0"/>
    <n v="459382"/>
    <s v=" "/>
    <n v="9333904.0500000007"/>
    <x v="0"/>
    <n v="40266"/>
    <d v="2025-11-30T00:00:00"/>
    <s v=" "/>
    <s v=" "/>
    <n v="9"/>
    <s v="Interfaz Deuda JDE"/>
    <s v=" "/>
    <m/>
    <m/>
    <s v=" "/>
    <x v="0"/>
    <s v="AA"/>
    <s v="A"/>
    <s v="00007681"/>
    <s v="00598"/>
    <s v="00533"/>
    <n v="1944733"/>
    <s v="G"/>
    <s v=" "/>
    <s v=" "/>
    <s v=" "/>
    <s v=" "/>
    <m/>
  </r>
  <r>
    <x v="1"/>
    <m/>
    <s v="AJ IVA RECONOC REQ000003175538"/>
    <n v="-91996.03"/>
    <x v="1"/>
    <n v="9292"/>
    <d v="2025-11-13T00:00:00"/>
    <s v=" "/>
    <s v=" "/>
    <n v="2"/>
    <s v="AJ IVA RECONOC REQ000003175538"/>
    <s v=" "/>
    <m/>
    <m/>
    <s v=" "/>
    <x v="1"/>
    <s v="AA"/>
    <s v=" "/>
    <s v=" "/>
    <s v="00533"/>
    <s v="00533"/>
    <n v="1939134"/>
    <s v="G"/>
    <s v=" "/>
    <m/>
    <m/>
    <s v=" "/>
    <m/>
  </r>
  <r>
    <x v="2"/>
    <n v="467996"/>
    <s v="AGUACHICA"/>
    <n v="-86943954"/>
    <x v="2"/>
    <n v="203175"/>
    <d v="2025-11-10T00:00:00"/>
    <s v=" "/>
    <s v=" "/>
    <n v="1"/>
    <s v="BAEZ ANA CLOVIS"/>
    <s v=" "/>
    <m/>
    <n v="-86943954"/>
    <s v=" "/>
    <x v="2"/>
    <s v="AA"/>
    <s v=" "/>
    <s v=" "/>
    <s v="00533"/>
    <s v="00533"/>
    <n v="1937530"/>
    <s v="O"/>
    <s v=" "/>
    <s v=" "/>
    <s v=" "/>
    <s v="00103973"/>
    <m/>
  </r>
  <r>
    <x v="2"/>
    <n v="467996"/>
    <s v="AGUACHICA"/>
    <n v="86943954"/>
    <x v="2"/>
    <n v="203178"/>
    <d v="2025-11-10T00:00:00"/>
    <s v=" "/>
    <s v=" "/>
    <n v="1"/>
    <s v="BAEZ ANA CLOVIS"/>
    <s v=" "/>
    <m/>
    <n v="86943954"/>
    <s v=" "/>
    <x v="2"/>
    <s v="AA"/>
    <s v=" "/>
    <s v=" "/>
    <s v="00533"/>
    <s v="00533"/>
    <n v="1937549"/>
    <s v="O"/>
    <s v=" "/>
    <s v=" "/>
    <s v=" "/>
    <s v="00104190"/>
    <m/>
  </r>
  <r>
    <x v="3"/>
    <m/>
    <s v="REQ000003205799_División Olger"/>
    <n v="310498472.89999998"/>
    <x v="2"/>
    <n v="204349"/>
    <d v="2025-11-21T00:00:00"/>
    <s v=" "/>
    <s v=" "/>
    <n v="1"/>
    <s v="SUMIMAS S A S"/>
    <s v=" "/>
    <m/>
    <n v="110"/>
    <s v=" "/>
    <x v="3"/>
    <s v="AA"/>
    <s v=" "/>
    <s v=" "/>
    <s v="00598"/>
    <s v="00598"/>
    <n v="1941569"/>
    <s v="O"/>
    <s v=" "/>
    <m/>
    <m/>
    <s v="00104551"/>
    <m/>
  </r>
  <r>
    <x v="3"/>
    <n v="466464"/>
    <s v="WORKSTATION PORTATIL"/>
    <n v="182727218.40000001"/>
    <x v="2"/>
    <n v="204349"/>
    <d v="2025-11-21T00:00:00"/>
    <s v=" "/>
    <s v=" "/>
    <n v="3"/>
    <s v="SUMIMAS S A S"/>
    <s v=" "/>
    <m/>
    <n v="16"/>
    <s v=" "/>
    <x v="3"/>
    <s v="AA"/>
    <s v=" "/>
    <s v=" "/>
    <s v="00598"/>
    <s v="00598"/>
    <n v="1941569"/>
    <s v="O"/>
    <s v=" "/>
    <s v=" "/>
    <s v=" "/>
    <s v="00104551"/>
    <n v="48840.959999999999"/>
  </r>
  <r>
    <x v="4"/>
    <n v="468342"/>
    <s v="Indemnización activo 20611 hur"/>
    <n v="115522313"/>
    <x v="2"/>
    <n v="204839"/>
    <d v="2025-11-27T00:00:00"/>
    <s v=" "/>
    <s v=" "/>
    <n v="1"/>
    <s v="SEGUROS GENERALES SURAMERICANA"/>
    <s v=" "/>
    <m/>
    <n v="1"/>
    <s v=" "/>
    <x v="4"/>
    <s v="AA"/>
    <s v=" "/>
    <s v=" "/>
    <s v="00533"/>
    <s v="00533"/>
    <n v="1943984"/>
    <s v="O"/>
    <s v=" "/>
    <s v=" "/>
    <s v=" "/>
    <s v="00104729"/>
    <m/>
  </r>
  <r>
    <x v="5"/>
    <n v="464592"/>
    <s v="TRANSPORTES Y TALLERES"/>
    <n v="978545.15"/>
    <x v="2"/>
    <n v="204918"/>
    <d v="2025-11-28T00:00:00"/>
    <s v=" "/>
    <s v=" "/>
    <n v="19"/>
    <s v="TRANSPORTE INTEGRAL NOR ORIENT"/>
    <s v=" "/>
    <m/>
    <n v="1"/>
    <s v=" "/>
    <x v="5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5861861.8200000003"/>
    <x v="2"/>
    <n v="204918"/>
    <d v="2025-11-28T00:00:00"/>
    <s v=" "/>
    <s v=" "/>
    <n v="21"/>
    <s v="TRANSPORTE INTEGRAL NOR ORIENT"/>
    <s v=" "/>
    <m/>
    <n v="1"/>
    <s v=" "/>
    <x v="6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4182701.5"/>
    <x v="2"/>
    <n v="204918"/>
    <d v="2025-11-28T00:00:00"/>
    <s v=" "/>
    <s v=" "/>
    <n v="23"/>
    <s v="TRANSPORTE INTEGRAL NOR ORIENT"/>
    <s v=" "/>
    <m/>
    <n v="1"/>
    <s v=" "/>
    <x v="6"/>
    <s v="AA"/>
    <s v=" "/>
    <s v=" "/>
    <s v="00533"/>
    <s v="00533"/>
    <n v="1944417"/>
    <s v="O"/>
    <s v=" "/>
    <s v=" "/>
    <s v=" "/>
    <s v="00104754"/>
    <m/>
  </r>
  <r>
    <x v="6"/>
    <n v="311316"/>
    <s v="TRANSPORTES Y TALLERES"/>
    <n v="2583156.54"/>
    <x v="2"/>
    <n v="204918"/>
    <d v="2025-11-28T00:00:00"/>
    <s v=" "/>
    <s v=" "/>
    <n v="25"/>
    <s v="TRANSPORTE INTEGRAL NOR ORIENT"/>
    <s v=" "/>
    <m/>
    <n v="1"/>
    <s v=" "/>
    <x v="6"/>
    <s v="AA"/>
    <s v=" "/>
    <s v=" "/>
    <s v="00533"/>
    <s v="00533"/>
    <n v="1944417"/>
    <s v="O"/>
    <s v=" "/>
    <s v=" "/>
    <s v=" "/>
    <s v="00104754"/>
    <m/>
  </r>
  <r>
    <x v="6"/>
    <n v="311317"/>
    <s v="TRANSPORTES Y TALLERES"/>
    <n v="3340950.02"/>
    <x v="2"/>
    <n v="204918"/>
    <d v="2025-11-28T00:00:00"/>
    <s v=" "/>
    <s v=" "/>
    <n v="27"/>
    <s v="TRANSPORTE INTEGRAL NOR ORIENT"/>
    <s v=" "/>
    <m/>
    <n v="1"/>
    <s v=" "/>
    <x v="6"/>
    <s v="AA"/>
    <s v=" "/>
    <s v=" "/>
    <s v="00533"/>
    <s v="00533"/>
    <n v="1944417"/>
    <s v="O"/>
    <s v=" "/>
    <s v=" "/>
    <s v=" "/>
    <s v="00104754"/>
    <m/>
  </r>
  <r>
    <x v="6"/>
    <n v="311317"/>
    <s v="TRANSPORTES Y TALLERES"/>
    <n v="9170241.9199999999"/>
    <x v="2"/>
    <n v="204918"/>
    <d v="2025-11-28T00:00:00"/>
    <s v=" "/>
    <s v=" "/>
    <n v="29"/>
    <s v="TRANSPORTE INTEGRAL NOR ORIENT"/>
    <s v=" "/>
    <m/>
    <n v="1"/>
    <s v=" "/>
    <x v="6"/>
    <s v="AA"/>
    <s v=" "/>
    <s v=" "/>
    <s v="00533"/>
    <s v="00533"/>
    <n v="1944417"/>
    <s v="O"/>
    <s v=" "/>
    <s v=" "/>
    <s v=" "/>
    <s v="00104754"/>
    <m/>
  </r>
  <r>
    <x v="3"/>
    <n v="466464"/>
    <s v="COMPUTADOR PORTATIL 14&quot;"/>
    <n v="58994709.850000001"/>
    <x v="3"/>
    <n v="22306"/>
    <d v="2025-11-21T00:00:00"/>
    <s v=" "/>
    <s v=" "/>
    <n v="2"/>
    <s v="SUMIMAS S A S"/>
    <s v=" "/>
    <m/>
    <m/>
    <s v=" "/>
    <x v="3"/>
    <s v="AA"/>
    <s v=" "/>
    <s v=" "/>
    <s v="00598"/>
    <s v="00598"/>
    <n v="1944480"/>
    <s v="V"/>
    <s v=" "/>
    <s v=" "/>
    <s v=" "/>
    <s v="00104551"/>
    <n v="15768.63"/>
  </r>
  <r>
    <x v="3"/>
    <n v="466464"/>
    <s v="WORKSTATION PORTATIL"/>
    <n v="34718171.5"/>
    <x v="3"/>
    <n v="22306"/>
    <d v="2025-11-21T00:00:00"/>
    <s v=" "/>
    <s v=" "/>
    <n v="4"/>
    <s v="SUMIMAS S A S"/>
    <s v=" "/>
    <m/>
    <m/>
    <s v=" "/>
    <x v="3"/>
    <s v="AA"/>
    <s v=" "/>
    <s v=" "/>
    <s v="00598"/>
    <s v="00598"/>
    <n v="1944480"/>
    <s v="V"/>
    <s v=" "/>
    <s v=" "/>
    <s v=" "/>
    <s v="00104551"/>
    <n v="9279.78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E50F-9DDD-4884-B2FD-FDA1CE2BCE71}" name="TablaDinámica3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28">
    <pivotField axis="axisRow" showAll="0">
      <items count="9">
        <item m="1" x="7"/>
        <item x="2"/>
        <item x="5"/>
        <item x="6"/>
        <item x="0"/>
        <item x="3"/>
        <item x="1"/>
        <item x="4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m="1" x="4"/>
        <item x="2"/>
        <item x="3"/>
        <item t="default"/>
      </items>
    </pivotField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m="1" x="10"/>
        <item m="1" x="11"/>
        <item x="2"/>
        <item x="4"/>
        <item x="3"/>
        <item m="1" x="8"/>
        <item m="1" x="7"/>
        <item x="1"/>
        <item m="1" x="9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4">
    <i>
      <x v="1"/>
    </i>
    <i r="1">
      <x v="3"/>
    </i>
    <i r="2">
      <x v="2"/>
    </i>
    <i>
      <x v="2"/>
    </i>
    <i r="1">
      <x v="3"/>
    </i>
    <i r="2">
      <x v="10"/>
    </i>
    <i>
      <x v="3"/>
    </i>
    <i r="1">
      <x v="3"/>
    </i>
    <i r="2">
      <x v="11"/>
    </i>
    <i>
      <x v="4"/>
    </i>
    <i r="1">
      <x/>
    </i>
    <i r="2">
      <x v="9"/>
    </i>
    <i>
      <x v="5"/>
    </i>
    <i r="1">
      <x v="3"/>
    </i>
    <i r="2">
      <x v="4"/>
    </i>
    <i r="1">
      <x v="4"/>
    </i>
    <i r="2">
      <x v="4"/>
    </i>
    <i>
      <x v="6"/>
    </i>
    <i r="1">
      <x v="1"/>
    </i>
    <i r="2">
      <x v="7"/>
    </i>
    <i>
      <x v="7"/>
    </i>
    <i r="1">
      <x v="3"/>
    </i>
    <i r="2">
      <x v="3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3277F-B591-431C-8FC8-0A5E1DCD6CEF}" name="Tabla1" displayName="Tabla1" ref="A1:AB23" totalsRowShown="0" headerRowDxfId="0" dataDxfId="1">
  <autoFilter ref="A1:AB23" xr:uid="{27A927F0-056E-453C-9B35-334C8556CAB5}"/>
  <tableColumns count="28">
    <tableColumn id="1" xr3:uid="{3850F5AA-D38E-4D0A-AE94-0B6A45E2BE17}" name="RESPONSABLE"/>
    <tableColumn id="2" xr3:uid="{DBA576E7-3EE3-4465-B65F-C96C821B8664}" name="Número activo"/>
    <tableColumn id="3" xr3:uid="{FDD495DA-0351-4C9D-AC45-2AC8E6D1D479}" name="Explicación" dataDxfId="20"/>
    <tableColumn id="4" xr3:uid="{5DD0D75B-D57C-4A54-B3CF-BF6FD85BA836}" name="Importe                     " dataCellStyle="Millares"/>
    <tableColumn id="5" xr3:uid="{6B87547D-2041-43F0-A54C-108788C54CFA}" name="Tipo doc" dataDxfId="19"/>
    <tableColumn id="6" xr3:uid="{FCB8D696-3CF0-42A0-80CC-AF4FF3220D9C}" name="Número documento"/>
    <tableColumn id="7" xr3:uid="{2F06CCC6-1C78-47E4-8C37-716A014D32F9}" name="Fecha libro mayor" dataDxfId="18"/>
    <tableColumn id="8" xr3:uid="{C524FF90-6910-430C-9B33-D834B5F05C53}" name="Cd rtn" dataDxfId="17"/>
    <tableColumn id="9" xr3:uid="{FE36D55C-BFDC-4669-AB95-400254180136}" name="Cd contzn" dataDxfId="16"/>
    <tableColumn id="10" xr3:uid="{F5B61716-DF29-4BB2-B09D-3261123F25B5}" name="Número línea"/>
    <tableColumn id="11" xr3:uid="{EFBDCE10-9477-45D1-BFAF-0146B7AA6E76}" name="Explicación2" dataDxfId="15"/>
    <tableColumn id="12" xr3:uid="{35631330-F465-4E24-BE6F-C62632870CF4}" name="Cd fact" dataDxfId="14"/>
    <tableColumn id="13" xr3:uid="{1D01DC04-1C8A-479D-A214-7109EFF35CF2}" name="Código DOI"/>
    <tableColumn id="14" xr3:uid="{27DFFCE3-91CC-4161-8D02-C796FE7B0038}" name="Unidades"/>
    <tableColumn id="15" xr3:uid="{50DC312F-CF35-46AD-9C22-046C7FF0E123}" name="UM" dataDxfId="13"/>
    <tableColumn id="16" xr3:uid="{0B77E5D2-A3CA-4CD7-B1A2-40F3924155E2}" name="Cuenta" dataDxfId="12"/>
    <tableColumn id="17" xr3:uid="{D2138108-6F75-431B-B9C8-93A4BBF370CA}" name="Tipo LM" dataDxfId="11"/>
    <tableColumn id="18" xr3:uid="{261EC214-0D9D-47A2-B7F5-F204C8576ECE}" name="Tp LM aux" dataDxfId="10"/>
    <tableColumn id="19" xr3:uid="{589FF2CF-1067-43A7-ACC5-EC65DDF1BE3D}" name="Libro mayor auxiliar" dataDxfId="9"/>
    <tableColumn id="20" xr3:uid="{9F79A251-6230-4565-843B-79AF1F2BE4C8}" name="Compañía documento" dataDxfId="8"/>
    <tableColumn id="21" xr3:uid="{B1498516-E34C-4AE1-8BD2-278E56C9A831}" name="Compañía" dataDxfId="7"/>
    <tableColumn id="22" xr3:uid="{2CBC23EA-B1B5-435C-90F0-56FC2249AC62}" name="Número batch"/>
    <tableColumn id="23" xr3:uid="{ACED5956-AB5F-49AF-BF01-739814B61B44}" name="Tipo batch" dataDxfId="6"/>
    <tableColumn id="24" xr3:uid="{7694B584-B809-48C1-9CFF-16E4029784D4}" name="Extensión línea" dataDxfId="5"/>
    <tableColumn id="25" xr3:uid="{4BD7F9C4-45CA-4172-9848-B1DFE5809A09}" name="Número unidad" dataDxfId="4"/>
    <tableColumn id="26" xr3:uid="{EB1E3520-7DBE-49E1-B4C5-859665000A07}" name="Número serie" dataDxfId="3"/>
    <tableColumn id="27" xr3:uid="{87A6AF20-D983-404D-A4E9-1EEFBB327911}" name="Orden de compra" dataDxfId="2"/>
    <tableColumn id="28" xr3:uid="{D7AB0B2B-0E85-4D0B-972D-9D214A8BCC38}" name="Importe de moneda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61C-FEFF-424C-BE1A-0D7D09793430}">
  <dimension ref="A3:B27"/>
  <sheetViews>
    <sheetView workbookViewId="0">
      <selection activeCell="I8" sqref="I8"/>
    </sheetView>
  </sheetViews>
  <sheetFormatPr baseColWidth="10" defaultRowHeight="14.5" x14ac:dyDescent="0.35"/>
  <cols>
    <col min="1" max="1" width="34.54296875" bestFit="1" customWidth="1"/>
    <col min="2" max="2" width="27.81640625" bestFit="1" customWidth="1"/>
  </cols>
  <sheetData>
    <row r="3" spans="1:2" x14ac:dyDescent="0.35">
      <c r="A3" s="7" t="s">
        <v>73</v>
      </c>
      <c r="B3" t="s">
        <v>75</v>
      </c>
    </row>
    <row r="4" spans="1:2" x14ac:dyDescent="0.35">
      <c r="A4" s="8" t="s">
        <v>68</v>
      </c>
      <c r="B4" s="10">
        <v>2</v>
      </c>
    </row>
    <row r="5" spans="1:2" x14ac:dyDescent="0.35">
      <c r="A5" s="9" t="s">
        <v>42</v>
      </c>
      <c r="B5" s="10">
        <v>2</v>
      </c>
    </row>
    <row r="6" spans="1:2" x14ac:dyDescent="0.35">
      <c r="A6" s="11" t="s">
        <v>29</v>
      </c>
      <c r="B6" s="10">
        <v>2</v>
      </c>
    </row>
    <row r="7" spans="1:2" x14ac:dyDescent="0.35">
      <c r="A7" s="8" t="s">
        <v>70</v>
      </c>
      <c r="B7" s="10">
        <v>1</v>
      </c>
    </row>
    <row r="8" spans="1:2" x14ac:dyDescent="0.35">
      <c r="A8" s="9" t="s">
        <v>42</v>
      </c>
      <c r="B8" s="10">
        <v>1</v>
      </c>
    </row>
    <row r="9" spans="1:2" x14ac:dyDescent="0.35">
      <c r="A9" s="11" t="s">
        <v>58</v>
      </c>
      <c r="B9" s="10">
        <v>1</v>
      </c>
    </row>
    <row r="10" spans="1:2" x14ac:dyDescent="0.35">
      <c r="A10" s="8" t="s">
        <v>71</v>
      </c>
      <c r="B10" s="10">
        <v>5</v>
      </c>
    </row>
    <row r="11" spans="1:2" x14ac:dyDescent="0.35">
      <c r="A11" s="9" t="s">
        <v>42</v>
      </c>
      <c r="B11" s="10">
        <v>5</v>
      </c>
    </row>
    <row r="12" spans="1:2" x14ac:dyDescent="0.35">
      <c r="A12" s="11" t="s">
        <v>60</v>
      </c>
      <c r="B12" s="10">
        <v>5</v>
      </c>
    </row>
    <row r="13" spans="1:2" x14ac:dyDescent="0.35">
      <c r="A13" s="8" t="s">
        <v>65</v>
      </c>
      <c r="B13" s="10">
        <v>8</v>
      </c>
    </row>
    <row r="14" spans="1:2" x14ac:dyDescent="0.35">
      <c r="A14" s="9" t="s">
        <v>30</v>
      </c>
      <c r="B14" s="10">
        <v>8</v>
      </c>
    </row>
    <row r="15" spans="1:2" x14ac:dyDescent="0.35">
      <c r="A15" s="11" t="s">
        <v>32</v>
      </c>
      <c r="B15" s="10">
        <v>8</v>
      </c>
    </row>
    <row r="16" spans="1:2" x14ac:dyDescent="0.35">
      <c r="A16" s="8" t="s">
        <v>67</v>
      </c>
      <c r="B16" s="10">
        <v>4</v>
      </c>
    </row>
    <row r="17" spans="1:2" x14ac:dyDescent="0.35">
      <c r="A17" s="9" t="s">
        <v>42</v>
      </c>
      <c r="B17" s="10">
        <v>2</v>
      </c>
    </row>
    <row r="18" spans="1:2" x14ac:dyDescent="0.35">
      <c r="A18" s="11" t="s">
        <v>49</v>
      </c>
      <c r="B18" s="10">
        <v>2</v>
      </c>
    </row>
    <row r="19" spans="1:2" x14ac:dyDescent="0.35">
      <c r="A19" s="9" t="s">
        <v>62</v>
      </c>
      <c r="B19" s="10">
        <v>2</v>
      </c>
    </row>
    <row r="20" spans="1:2" x14ac:dyDescent="0.35">
      <c r="A20" s="11" t="s">
        <v>49</v>
      </c>
      <c r="B20" s="10">
        <v>2</v>
      </c>
    </row>
    <row r="21" spans="1:2" x14ac:dyDescent="0.35">
      <c r="A21" s="8" t="s">
        <v>66</v>
      </c>
      <c r="B21" s="10">
        <v>1</v>
      </c>
    </row>
    <row r="22" spans="1:2" x14ac:dyDescent="0.35">
      <c r="A22" s="9" t="s">
        <v>39</v>
      </c>
      <c r="B22" s="10">
        <v>1</v>
      </c>
    </row>
    <row r="23" spans="1:2" x14ac:dyDescent="0.35">
      <c r="A23" s="11" t="s">
        <v>40</v>
      </c>
      <c r="B23" s="10">
        <v>1</v>
      </c>
    </row>
    <row r="24" spans="1:2" x14ac:dyDescent="0.35">
      <c r="A24" s="8" t="s">
        <v>69</v>
      </c>
      <c r="B24" s="10">
        <v>1</v>
      </c>
    </row>
    <row r="25" spans="1:2" x14ac:dyDescent="0.35">
      <c r="A25" s="9" t="s">
        <v>42</v>
      </c>
      <c r="B25" s="10">
        <v>1</v>
      </c>
    </row>
    <row r="26" spans="1:2" x14ac:dyDescent="0.35">
      <c r="A26" s="11" t="s">
        <v>54</v>
      </c>
      <c r="B26" s="10">
        <v>1</v>
      </c>
    </row>
    <row r="27" spans="1:2" x14ac:dyDescent="0.35">
      <c r="A27" s="8" t="s">
        <v>74</v>
      </c>
      <c r="B27" s="1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27F0-056E-453C-9B35-334C8556CAB5}">
  <dimension ref="A1:AB23"/>
  <sheetViews>
    <sheetView tabSelected="1" workbookViewId="0">
      <selection activeCell="A15" sqref="A15:XFD15"/>
    </sheetView>
  </sheetViews>
  <sheetFormatPr baseColWidth="10" defaultRowHeight="14.5" x14ac:dyDescent="0.35"/>
  <cols>
    <col min="1" max="2" width="15.453125" customWidth="1"/>
    <col min="3" max="3" width="30.6328125" style="1" bestFit="1" customWidth="1"/>
    <col min="4" max="4" width="22.08984375" style="6" customWidth="1"/>
    <col min="5" max="5" width="10.90625" style="1"/>
    <col min="6" max="6" width="19.90625" customWidth="1"/>
    <col min="7" max="7" width="18.7265625" style="2" customWidth="1"/>
    <col min="8" max="8" width="10.90625" style="1"/>
    <col min="9" max="9" width="11.453125" style="1" customWidth="1"/>
    <col min="10" max="10" width="14.6328125" customWidth="1"/>
    <col min="11" max="11" width="32.7265625" style="1" bestFit="1" customWidth="1"/>
    <col min="12" max="12" width="10.90625" style="1"/>
    <col min="13" max="13" width="12.7265625" customWidth="1"/>
    <col min="14" max="14" width="11" bestFit="1" customWidth="1"/>
    <col min="15" max="15" width="10.90625" style="1"/>
    <col min="16" max="16" width="29.08984375" style="1" bestFit="1" customWidth="1"/>
    <col min="17" max="17" width="10.90625" style="1"/>
    <col min="18" max="18" width="12" style="1" customWidth="1"/>
    <col min="19" max="19" width="20.6328125" style="1" customWidth="1"/>
    <col min="20" max="20" width="22" style="1" customWidth="1"/>
    <col min="21" max="21" width="11.7265625" style="1" customWidth="1"/>
    <col min="22" max="22" width="15" customWidth="1"/>
    <col min="23" max="23" width="12" style="1" customWidth="1"/>
    <col min="24" max="25" width="16.26953125" style="1" customWidth="1"/>
    <col min="26" max="26" width="14.453125" style="1" customWidth="1"/>
    <col min="27" max="27" width="18" style="1" customWidth="1"/>
    <col min="28" max="28" width="20.7265625" customWidth="1"/>
  </cols>
  <sheetData>
    <row r="1" spans="1:28" x14ac:dyDescent="0.35">
      <c r="A1" s="4" t="s">
        <v>64</v>
      </c>
      <c r="B1" s="3" t="s">
        <v>0</v>
      </c>
      <c r="C1" s="3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72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65</v>
      </c>
      <c r="B2">
        <v>459382</v>
      </c>
      <c r="C2" s="1" t="s">
        <v>26</v>
      </c>
      <c r="D2" s="6">
        <v>87261.51</v>
      </c>
      <c r="E2" s="1" t="s">
        <v>30</v>
      </c>
      <c r="F2">
        <v>40150</v>
      </c>
      <c r="G2" s="2">
        <v>45991</v>
      </c>
      <c r="H2" s="1" t="s">
        <v>26</v>
      </c>
      <c r="I2" s="1" t="s">
        <v>26</v>
      </c>
      <c r="J2">
        <v>9</v>
      </c>
      <c r="K2" s="1" t="s">
        <v>31</v>
      </c>
      <c r="L2" s="1" t="s">
        <v>26</v>
      </c>
      <c r="O2" s="1" t="s">
        <v>26</v>
      </c>
      <c r="P2" s="1" t="s">
        <v>32</v>
      </c>
      <c r="Q2" s="1" t="s">
        <v>27</v>
      </c>
      <c r="R2" s="1" t="s">
        <v>33</v>
      </c>
      <c r="S2" s="1" t="s">
        <v>34</v>
      </c>
      <c r="T2" s="1" t="s">
        <v>35</v>
      </c>
      <c r="U2" s="1" t="s">
        <v>28</v>
      </c>
      <c r="V2">
        <v>1944733</v>
      </c>
      <c r="W2" s="1" t="s">
        <v>36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8" x14ac:dyDescent="0.35">
      <c r="A3" t="s">
        <v>65</v>
      </c>
      <c r="B3">
        <v>459382</v>
      </c>
      <c r="C3" s="1" t="s">
        <v>26</v>
      </c>
      <c r="D3" s="6">
        <v>86450.15</v>
      </c>
      <c r="E3" s="1" t="s">
        <v>30</v>
      </c>
      <c r="F3">
        <v>40151</v>
      </c>
      <c r="G3" s="2">
        <v>45991</v>
      </c>
      <c r="H3" s="1" t="s">
        <v>26</v>
      </c>
      <c r="I3" s="1" t="s">
        <v>26</v>
      </c>
      <c r="J3">
        <v>9</v>
      </c>
      <c r="K3" s="1" t="s">
        <v>31</v>
      </c>
      <c r="L3" s="1" t="s">
        <v>26</v>
      </c>
      <c r="O3" s="1" t="s">
        <v>26</v>
      </c>
      <c r="P3" s="1" t="s">
        <v>32</v>
      </c>
      <c r="Q3" s="1" t="s">
        <v>27</v>
      </c>
      <c r="R3" s="1" t="s">
        <v>33</v>
      </c>
      <c r="S3" s="1" t="s">
        <v>37</v>
      </c>
      <c r="T3" s="1" t="s">
        <v>35</v>
      </c>
      <c r="U3" s="1" t="s">
        <v>28</v>
      </c>
      <c r="V3">
        <v>1944733</v>
      </c>
      <c r="W3" s="1" t="s">
        <v>36</v>
      </c>
      <c r="X3" s="1" t="s">
        <v>26</v>
      </c>
      <c r="Y3" s="1" t="s">
        <v>26</v>
      </c>
      <c r="Z3" s="1" t="s">
        <v>26</v>
      </c>
      <c r="AA3" s="1" t="s">
        <v>26</v>
      </c>
    </row>
    <row r="4" spans="1:28" x14ac:dyDescent="0.35">
      <c r="A4" t="s">
        <v>65</v>
      </c>
      <c r="B4">
        <v>459382</v>
      </c>
      <c r="C4" s="1" t="s">
        <v>26</v>
      </c>
      <c r="D4" s="6">
        <v>154798.14000000001</v>
      </c>
      <c r="E4" s="1" t="s">
        <v>30</v>
      </c>
      <c r="F4">
        <v>40152</v>
      </c>
      <c r="G4" s="2">
        <v>45991</v>
      </c>
      <c r="H4" s="1" t="s">
        <v>26</v>
      </c>
      <c r="I4" s="1" t="s">
        <v>26</v>
      </c>
      <c r="J4">
        <v>9</v>
      </c>
      <c r="K4" s="1" t="s">
        <v>31</v>
      </c>
      <c r="L4" s="1" t="s">
        <v>26</v>
      </c>
      <c r="O4" s="1" t="s">
        <v>26</v>
      </c>
      <c r="P4" s="1" t="s">
        <v>32</v>
      </c>
      <c r="Q4" s="1" t="s">
        <v>27</v>
      </c>
      <c r="R4" s="1" t="s">
        <v>33</v>
      </c>
      <c r="S4" s="1" t="s">
        <v>37</v>
      </c>
      <c r="T4" s="1" t="s">
        <v>35</v>
      </c>
      <c r="U4" s="1" t="s">
        <v>28</v>
      </c>
      <c r="V4">
        <v>1944733</v>
      </c>
      <c r="W4" s="1" t="s">
        <v>36</v>
      </c>
      <c r="X4" s="1" t="s">
        <v>26</v>
      </c>
      <c r="Y4" s="1" t="s">
        <v>26</v>
      </c>
      <c r="Z4" s="1" t="s">
        <v>26</v>
      </c>
      <c r="AA4" s="1" t="s">
        <v>26</v>
      </c>
    </row>
    <row r="5" spans="1:28" x14ac:dyDescent="0.35">
      <c r="A5" t="s">
        <v>65</v>
      </c>
      <c r="B5">
        <v>459382</v>
      </c>
      <c r="C5" s="1" t="s">
        <v>26</v>
      </c>
      <c r="D5" s="6">
        <v>-357996.29</v>
      </c>
      <c r="E5" s="1" t="s">
        <v>30</v>
      </c>
      <c r="F5">
        <v>40154</v>
      </c>
      <c r="G5" s="2">
        <v>45991</v>
      </c>
      <c r="H5" s="1" t="s">
        <v>26</v>
      </c>
      <c r="I5" s="1" t="s">
        <v>26</v>
      </c>
      <c r="J5">
        <v>9</v>
      </c>
      <c r="K5" s="1" t="s">
        <v>31</v>
      </c>
      <c r="L5" s="1" t="s">
        <v>26</v>
      </c>
      <c r="O5" s="1" t="s">
        <v>26</v>
      </c>
      <c r="P5" s="1" t="s">
        <v>32</v>
      </c>
      <c r="Q5" s="1" t="s">
        <v>27</v>
      </c>
      <c r="R5" s="1" t="s">
        <v>33</v>
      </c>
      <c r="S5" s="1" t="s">
        <v>37</v>
      </c>
      <c r="T5" s="1" t="s">
        <v>35</v>
      </c>
      <c r="U5" s="1" t="s">
        <v>28</v>
      </c>
      <c r="V5">
        <v>1944733</v>
      </c>
      <c r="W5" s="1" t="s">
        <v>36</v>
      </c>
      <c r="X5" s="1" t="s">
        <v>26</v>
      </c>
      <c r="Y5" s="1" t="s">
        <v>26</v>
      </c>
      <c r="Z5" s="1" t="s">
        <v>26</v>
      </c>
      <c r="AA5" s="1" t="s">
        <v>26</v>
      </c>
    </row>
    <row r="6" spans="1:28" x14ac:dyDescent="0.35">
      <c r="A6" t="s">
        <v>65</v>
      </c>
      <c r="B6">
        <v>459382</v>
      </c>
      <c r="C6" s="1" t="s">
        <v>26</v>
      </c>
      <c r="D6" s="6">
        <v>1774671.92</v>
      </c>
      <c r="E6" s="1" t="s">
        <v>30</v>
      </c>
      <c r="F6">
        <v>40263</v>
      </c>
      <c r="G6" s="2">
        <v>45991</v>
      </c>
      <c r="H6" s="1" t="s">
        <v>26</v>
      </c>
      <c r="I6" s="1" t="s">
        <v>26</v>
      </c>
      <c r="J6">
        <v>9</v>
      </c>
      <c r="K6" s="1" t="s">
        <v>31</v>
      </c>
      <c r="L6" s="1" t="s">
        <v>26</v>
      </c>
      <c r="O6" s="1" t="s">
        <v>26</v>
      </c>
      <c r="P6" s="1" t="s">
        <v>32</v>
      </c>
      <c r="Q6" s="1" t="s">
        <v>27</v>
      </c>
      <c r="R6" s="1" t="s">
        <v>33</v>
      </c>
      <c r="S6" s="1" t="s">
        <v>34</v>
      </c>
      <c r="T6" s="1" t="s">
        <v>35</v>
      </c>
      <c r="U6" s="1" t="s">
        <v>28</v>
      </c>
      <c r="V6">
        <v>1944733</v>
      </c>
      <c r="W6" s="1" t="s">
        <v>36</v>
      </c>
      <c r="X6" s="1" t="s">
        <v>26</v>
      </c>
      <c r="Y6" s="1" t="s">
        <v>26</v>
      </c>
      <c r="Z6" s="1" t="s">
        <v>26</v>
      </c>
      <c r="AA6" s="1" t="s">
        <v>26</v>
      </c>
    </row>
    <row r="7" spans="1:28" x14ac:dyDescent="0.35">
      <c r="A7" t="s">
        <v>65</v>
      </c>
      <c r="B7">
        <v>459382</v>
      </c>
      <c r="C7" s="1" t="s">
        <v>26</v>
      </c>
      <c r="D7" s="6">
        <v>1776080.19</v>
      </c>
      <c r="E7" s="1" t="s">
        <v>30</v>
      </c>
      <c r="F7">
        <v>40264</v>
      </c>
      <c r="G7" s="2">
        <v>45991</v>
      </c>
      <c r="H7" s="1" t="s">
        <v>26</v>
      </c>
      <c r="I7" s="1" t="s">
        <v>26</v>
      </c>
      <c r="J7">
        <v>9</v>
      </c>
      <c r="K7" s="1" t="s">
        <v>31</v>
      </c>
      <c r="L7" s="1" t="s">
        <v>26</v>
      </c>
      <c r="O7" s="1" t="s">
        <v>26</v>
      </c>
      <c r="P7" s="1" t="s">
        <v>32</v>
      </c>
      <c r="Q7" s="1" t="s">
        <v>27</v>
      </c>
      <c r="R7" s="1" t="s">
        <v>33</v>
      </c>
      <c r="S7" s="1" t="s">
        <v>37</v>
      </c>
      <c r="T7" s="1" t="s">
        <v>35</v>
      </c>
      <c r="U7" s="1" t="s">
        <v>28</v>
      </c>
      <c r="V7">
        <v>1944733</v>
      </c>
      <c r="W7" s="1" t="s">
        <v>36</v>
      </c>
      <c r="X7" s="1" t="s">
        <v>26</v>
      </c>
      <c r="Y7" s="1" t="s">
        <v>26</v>
      </c>
      <c r="Z7" s="1" t="s">
        <v>26</v>
      </c>
      <c r="AA7" s="1" t="s">
        <v>26</v>
      </c>
    </row>
    <row r="8" spans="1:28" x14ac:dyDescent="0.35">
      <c r="A8" t="s">
        <v>65</v>
      </c>
      <c r="B8">
        <v>459382</v>
      </c>
      <c r="C8" s="1" t="s">
        <v>26</v>
      </c>
      <c r="D8" s="6">
        <v>5384211.5199999996</v>
      </c>
      <c r="E8" s="1" t="s">
        <v>30</v>
      </c>
      <c r="F8">
        <v>40265</v>
      </c>
      <c r="G8" s="2">
        <v>45991</v>
      </c>
      <c r="H8" s="1" t="s">
        <v>26</v>
      </c>
      <c r="I8" s="1" t="s">
        <v>26</v>
      </c>
      <c r="J8">
        <v>9</v>
      </c>
      <c r="K8" s="1" t="s">
        <v>31</v>
      </c>
      <c r="L8" s="1" t="s">
        <v>26</v>
      </c>
      <c r="O8" s="1" t="s">
        <v>26</v>
      </c>
      <c r="P8" s="1" t="s">
        <v>32</v>
      </c>
      <c r="Q8" s="1" t="s">
        <v>27</v>
      </c>
      <c r="R8" s="1" t="s">
        <v>33</v>
      </c>
      <c r="S8" s="1" t="s">
        <v>37</v>
      </c>
      <c r="T8" s="1" t="s">
        <v>35</v>
      </c>
      <c r="U8" s="1" t="s">
        <v>28</v>
      </c>
      <c r="V8">
        <v>1944733</v>
      </c>
      <c r="W8" s="1" t="s">
        <v>36</v>
      </c>
      <c r="X8" s="1" t="s">
        <v>26</v>
      </c>
      <c r="Y8" s="1" t="s">
        <v>26</v>
      </c>
      <c r="Z8" s="1" t="s">
        <v>26</v>
      </c>
      <c r="AA8" s="1" t="s">
        <v>26</v>
      </c>
    </row>
    <row r="9" spans="1:28" x14ac:dyDescent="0.35">
      <c r="A9" t="s">
        <v>65</v>
      </c>
      <c r="B9">
        <v>459382</v>
      </c>
      <c r="C9" s="1" t="s">
        <v>26</v>
      </c>
      <c r="D9" s="6">
        <v>9333904.0500000007</v>
      </c>
      <c r="E9" s="1" t="s">
        <v>30</v>
      </c>
      <c r="F9">
        <v>40266</v>
      </c>
      <c r="G9" s="2">
        <v>45991</v>
      </c>
      <c r="H9" s="1" t="s">
        <v>26</v>
      </c>
      <c r="I9" s="1" t="s">
        <v>26</v>
      </c>
      <c r="J9">
        <v>9</v>
      </c>
      <c r="K9" s="1" t="s">
        <v>31</v>
      </c>
      <c r="L9" s="1" t="s">
        <v>26</v>
      </c>
      <c r="O9" s="1" t="s">
        <v>26</v>
      </c>
      <c r="P9" s="1" t="s">
        <v>32</v>
      </c>
      <c r="Q9" s="1" t="s">
        <v>27</v>
      </c>
      <c r="R9" s="1" t="s">
        <v>33</v>
      </c>
      <c r="S9" s="1" t="s">
        <v>37</v>
      </c>
      <c r="T9" s="1" t="s">
        <v>35</v>
      </c>
      <c r="U9" s="1" t="s">
        <v>28</v>
      </c>
      <c r="V9">
        <v>1944733</v>
      </c>
      <c r="W9" s="1" t="s">
        <v>36</v>
      </c>
      <c r="X9" s="1" t="s">
        <v>26</v>
      </c>
      <c r="Y9" s="1" t="s">
        <v>26</v>
      </c>
      <c r="Z9" s="1" t="s">
        <v>26</v>
      </c>
      <c r="AA9" s="1" t="s">
        <v>26</v>
      </c>
    </row>
    <row r="10" spans="1:28" x14ac:dyDescent="0.35">
      <c r="A10" t="s">
        <v>66</v>
      </c>
      <c r="C10" s="1" t="s">
        <v>38</v>
      </c>
      <c r="D10" s="6">
        <v>-91996.03</v>
      </c>
      <c r="E10" s="1" t="s">
        <v>39</v>
      </c>
      <c r="F10">
        <v>9292</v>
      </c>
      <c r="G10" s="2">
        <v>45974</v>
      </c>
      <c r="H10" s="1" t="s">
        <v>26</v>
      </c>
      <c r="I10" s="1" t="s">
        <v>26</v>
      </c>
      <c r="J10">
        <v>2</v>
      </c>
      <c r="K10" s="1" t="s">
        <v>38</v>
      </c>
      <c r="L10" s="1" t="s">
        <v>26</v>
      </c>
      <c r="O10" s="1" t="s">
        <v>26</v>
      </c>
      <c r="P10" s="1" t="s">
        <v>40</v>
      </c>
      <c r="Q10" s="1" t="s">
        <v>27</v>
      </c>
      <c r="R10" s="1" t="s">
        <v>26</v>
      </c>
      <c r="S10" s="1" t="s">
        <v>26</v>
      </c>
      <c r="T10" s="1" t="s">
        <v>28</v>
      </c>
      <c r="U10" s="1" t="s">
        <v>28</v>
      </c>
      <c r="V10">
        <v>1939134</v>
      </c>
      <c r="W10" s="1" t="s">
        <v>36</v>
      </c>
      <c r="X10" s="1" t="s">
        <v>26</v>
      </c>
      <c r="AA10" s="1" t="s">
        <v>26</v>
      </c>
    </row>
    <row r="11" spans="1:28" x14ac:dyDescent="0.35">
      <c r="A11" t="s">
        <v>68</v>
      </c>
      <c r="B11">
        <v>467996</v>
      </c>
      <c r="C11" s="1" t="s">
        <v>41</v>
      </c>
      <c r="D11" s="6">
        <v>-86943954</v>
      </c>
      <c r="E11" s="1" t="s">
        <v>42</v>
      </c>
      <c r="F11">
        <v>203175</v>
      </c>
      <c r="G11" s="2">
        <v>45971</v>
      </c>
      <c r="H11" s="1" t="s">
        <v>26</v>
      </c>
      <c r="I11" s="1" t="s">
        <v>26</v>
      </c>
      <c r="J11">
        <v>1</v>
      </c>
      <c r="K11" s="1" t="s">
        <v>43</v>
      </c>
      <c r="L11" s="1" t="s">
        <v>26</v>
      </c>
      <c r="N11">
        <v>-86943954</v>
      </c>
      <c r="O11" s="1" t="s">
        <v>26</v>
      </c>
      <c r="P11" s="1" t="s">
        <v>29</v>
      </c>
      <c r="Q11" s="1" t="s">
        <v>27</v>
      </c>
      <c r="R11" s="1" t="s">
        <v>26</v>
      </c>
      <c r="S11" s="1" t="s">
        <v>26</v>
      </c>
      <c r="T11" s="1" t="s">
        <v>28</v>
      </c>
      <c r="U11" s="1" t="s">
        <v>28</v>
      </c>
      <c r="V11">
        <v>1937530</v>
      </c>
      <c r="W11" s="1" t="s">
        <v>44</v>
      </c>
      <c r="X11" s="1" t="s">
        <v>26</v>
      </c>
      <c r="Y11" s="1" t="s">
        <v>26</v>
      </c>
      <c r="Z11" s="1" t="s">
        <v>26</v>
      </c>
      <c r="AA11" s="1" t="s">
        <v>45</v>
      </c>
    </row>
    <row r="12" spans="1:28" x14ac:dyDescent="0.35">
      <c r="A12" t="s">
        <v>68</v>
      </c>
      <c r="B12">
        <v>467996</v>
      </c>
      <c r="C12" s="1" t="s">
        <v>41</v>
      </c>
      <c r="D12" s="6">
        <v>86943954</v>
      </c>
      <c r="E12" s="1" t="s">
        <v>42</v>
      </c>
      <c r="F12">
        <v>203178</v>
      </c>
      <c r="G12" s="2">
        <v>45971</v>
      </c>
      <c r="H12" s="1" t="s">
        <v>26</v>
      </c>
      <c r="I12" s="1" t="s">
        <v>26</v>
      </c>
      <c r="J12">
        <v>1</v>
      </c>
      <c r="K12" s="1" t="s">
        <v>43</v>
      </c>
      <c r="L12" s="1" t="s">
        <v>26</v>
      </c>
      <c r="N12">
        <v>86943954</v>
      </c>
      <c r="O12" s="1" t="s">
        <v>26</v>
      </c>
      <c r="P12" s="1" t="s">
        <v>29</v>
      </c>
      <c r="Q12" s="1" t="s">
        <v>27</v>
      </c>
      <c r="R12" s="1" t="s">
        <v>26</v>
      </c>
      <c r="S12" s="1" t="s">
        <v>26</v>
      </c>
      <c r="T12" s="1" t="s">
        <v>28</v>
      </c>
      <c r="U12" s="1" t="s">
        <v>28</v>
      </c>
      <c r="V12">
        <v>1937549</v>
      </c>
      <c r="W12" s="1" t="s">
        <v>44</v>
      </c>
      <c r="X12" s="1" t="s">
        <v>26</v>
      </c>
      <c r="Y12" s="1" t="s">
        <v>26</v>
      </c>
      <c r="Z12" s="1" t="s">
        <v>26</v>
      </c>
      <c r="AA12" s="1" t="s">
        <v>46</v>
      </c>
    </row>
    <row r="13" spans="1:28" x14ac:dyDescent="0.35">
      <c r="A13" t="s">
        <v>67</v>
      </c>
      <c r="C13" s="1" t="s">
        <v>47</v>
      </c>
      <c r="D13" s="6">
        <v>310498472.89999998</v>
      </c>
      <c r="E13" s="1" t="s">
        <v>42</v>
      </c>
      <c r="F13">
        <v>204349</v>
      </c>
      <c r="G13" s="2">
        <v>45982</v>
      </c>
      <c r="H13" s="1" t="s">
        <v>26</v>
      </c>
      <c r="I13" s="1" t="s">
        <v>26</v>
      </c>
      <c r="J13">
        <v>1</v>
      </c>
      <c r="K13" s="1" t="s">
        <v>48</v>
      </c>
      <c r="L13" s="1" t="s">
        <v>26</v>
      </c>
      <c r="N13">
        <v>110</v>
      </c>
      <c r="O13" s="1" t="s">
        <v>26</v>
      </c>
      <c r="P13" s="1" t="s">
        <v>49</v>
      </c>
      <c r="Q13" s="1" t="s">
        <v>27</v>
      </c>
      <c r="R13" s="1" t="s">
        <v>26</v>
      </c>
      <c r="S13" s="1" t="s">
        <v>26</v>
      </c>
      <c r="T13" s="1" t="s">
        <v>35</v>
      </c>
      <c r="U13" s="1" t="s">
        <v>35</v>
      </c>
      <c r="V13">
        <v>1941569</v>
      </c>
      <c r="W13" s="1" t="s">
        <v>44</v>
      </c>
      <c r="X13" s="1" t="s">
        <v>26</v>
      </c>
      <c r="AA13" s="1" t="s">
        <v>50</v>
      </c>
    </row>
    <row r="14" spans="1:28" x14ac:dyDescent="0.35">
      <c r="A14" t="s">
        <v>67</v>
      </c>
      <c r="B14">
        <v>466464</v>
      </c>
      <c r="C14" s="1" t="s">
        <v>51</v>
      </c>
      <c r="D14" s="6">
        <v>182727218.40000001</v>
      </c>
      <c r="E14" s="1" t="s">
        <v>42</v>
      </c>
      <c r="F14">
        <v>204349</v>
      </c>
      <c r="G14" s="2">
        <v>45982</v>
      </c>
      <c r="H14" s="1" t="s">
        <v>26</v>
      </c>
      <c r="I14" s="1" t="s">
        <v>26</v>
      </c>
      <c r="J14">
        <v>3</v>
      </c>
      <c r="K14" s="1" t="s">
        <v>48</v>
      </c>
      <c r="L14" s="1" t="s">
        <v>26</v>
      </c>
      <c r="N14">
        <v>16</v>
      </c>
      <c r="O14" s="1" t="s">
        <v>26</v>
      </c>
      <c r="P14" s="1" t="s">
        <v>49</v>
      </c>
      <c r="Q14" s="1" t="s">
        <v>27</v>
      </c>
      <c r="R14" s="1" t="s">
        <v>26</v>
      </c>
      <c r="S14" s="1" t="s">
        <v>26</v>
      </c>
      <c r="T14" s="1" t="s">
        <v>35</v>
      </c>
      <c r="U14" s="1" t="s">
        <v>35</v>
      </c>
      <c r="V14">
        <v>1941569</v>
      </c>
      <c r="W14" s="1" t="s">
        <v>44</v>
      </c>
      <c r="X14" s="1" t="s">
        <v>26</v>
      </c>
      <c r="Y14" s="1" t="s">
        <v>26</v>
      </c>
      <c r="Z14" s="1" t="s">
        <v>26</v>
      </c>
      <c r="AA14" s="1" t="s">
        <v>50</v>
      </c>
      <c r="AB14">
        <v>48840.959999999999</v>
      </c>
    </row>
    <row r="15" spans="1:28" x14ac:dyDescent="0.35">
      <c r="A15" t="s">
        <v>69</v>
      </c>
      <c r="B15">
        <v>468342</v>
      </c>
      <c r="C15" s="1" t="s">
        <v>52</v>
      </c>
      <c r="D15" s="6">
        <v>115522313</v>
      </c>
      <c r="E15" s="1" t="s">
        <v>42</v>
      </c>
      <c r="F15">
        <v>204839</v>
      </c>
      <c r="G15" s="2">
        <v>45988</v>
      </c>
      <c r="H15" s="1" t="s">
        <v>26</v>
      </c>
      <c r="I15" s="1" t="s">
        <v>26</v>
      </c>
      <c r="J15">
        <v>1</v>
      </c>
      <c r="K15" s="1" t="s">
        <v>53</v>
      </c>
      <c r="L15" s="1" t="s">
        <v>26</v>
      </c>
      <c r="N15">
        <v>1</v>
      </c>
      <c r="O15" s="1" t="s">
        <v>26</v>
      </c>
      <c r="P15" s="1" t="s">
        <v>54</v>
      </c>
      <c r="Q15" s="1" t="s">
        <v>27</v>
      </c>
      <c r="R15" s="1" t="s">
        <v>26</v>
      </c>
      <c r="S15" s="1" t="s">
        <v>26</v>
      </c>
      <c r="T15" s="1" t="s">
        <v>28</v>
      </c>
      <c r="U15" s="1" t="s">
        <v>28</v>
      </c>
      <c r="V15">
        <v>1943984</v>
      </c>
      <c r="W15" s="1" t="s">
        <v>44</v>
      </c>
      <c r="X15" s="1" t="s">
        <v>26</v>
      </c>
      <c r="Y15" s="1" t="s">
        <v>26</v>
      </c>
      <c r="Z15" s="1" t="s">
        <v>26</v>
      </c>
      <c r="AA15" s="1" t="s">
        <v>55</v>
      </c>
    </row>
    <row r="16" spans="1:28" x14ac:dyDescent="0.35">
      <c r="A16" t="s">
        <v>70</v>
      </c>
      <c r="B16">
        <v>464592</v>
      </c>
      <c r="C16" s="1" t="s">
        <v>56</v>
      </c>
      <c r="D16" s="6">
        <v>978545.15</v>
      </c>
      <c r="E16" s="1" t="s">
        <v>42</v>
      </c>
      <c r="F16">
        <v>204918</v>
      </c>
      <c r="G16" s="2">
        <v>45989</v>
      </c>
      <c r="H16" s="1" t="s">
        <v>26</v>
      </c>
      <c r="I16" s="1" t="s">
        <v>26</v>
      </c>
      <c r="J16">
        <v>19</v>
      </c>
      <c r="K16" s="1" t="s">
        <v>57</v>
      </c>
      <c r="L16" s="1" t="s">
        <v>26</v>
      </c>
      <c r="N16">
        <v>1</v>
      </c>
      <c r="O16" s="1" t="s">
        <v>26</v>
      </c>
      <c r="P16" s="1" t="s">
        <v>58</v>
      </c>
      <c r="Q16" s="1" t="s">
        <v>27</v>
      </c>
      <c r="R16" s="1" t="s">
        <v>26</v>
      </c>
      <c r="S16" s="1" t="s">
        <v>26</v>
      </c>
      <c r="T16" s="1" t="s">
        <v>28</v>
      </c>
      <c r="U16" s="1" t="s">
        <v>28</v>
      </c>
      <c r="V16">
        <v>1944417</v>
      </c>
      <c r="W16" s="1" t="s">
        <v>44</v>
      </c>
      <c r="X16" s="1" t="s">
        <v>26</v>
      </c>
      <c r="Y16" s="1" t="s">
        <v>26</v>
      </c>
      <c r="Z16" s="1" t="s">
        <v>26</v>
      </c>
      <c r="AA16" s="1" t="s">
        <v>59</v>
      </c>
    </row>
    <row r="17" spans="1:28" x14ac:dyDescent="0.35">
      <c r="A17" t="s">
        <v>71</v>
      </c>
      <c r="B17">
        <v>311316</v>
      </c>
      <c r="C17" s="1" t="s">
        <v>56</v>
      </c>
      <c r="D17" s="6">
        <v>5861861.8200000003</v>
      </c>
      <c r="E17" s="1" t="s">
        <v>42</v>
      </c>
      <c r="F17">
        <v>204918</v>
      </c>
      <c r="G17" s="2">
        <v>45989</v>
      </c>
      <c r="H17" s="1" t="s">
        <v>26</v>
      </c>
      <c r="I17" s="1" t="s">
        <v>26</v>
      </c>
      <c r="J17">
        <v>21</v>
      </c>
      <c r="K17" s="1" t="s">
        <v>57</v>
      </c>
      <c r="L17" s="1" t="s">
        <v>26</v>
      </c>
      <c r="N17">
        <v>1</v>
      </c>
      <c r="O17" s="1" t="s">
        <v>26</v>
      </c>
      <c r="P17" s="1" t="s">
        <v>60</v>
      </c>
      <c r="Q17" s="1" t="s">
        <v>27</v>
      </c>
      <c r="R17" s="1" t="s">
        <v>26</v>
      </c>
      <c r="S17" s="1" t="s">
        <v>26</v>
      </c>
      <c r="T17" s="1" t="s">
        <v>28</v>
      </c>
      <c r="U17" s="1" t="s">
        <v>28</v>
      </c>
      <c r="V17">
        <v>1944417</v>
      </c>
      <c r="W17" s="1" t="s">
        <v>44</v>
      </c>
      <c r="X17" s="1" t="s">
        <v>26</v>
      </c>
      <c r="Y17" s="1" t="s">
        <v>26</v>
      </c>
      <c r="Z17" s="1" t="s">
        <v>26</v>
      </c>
      <c r="AA17" s="1" t="s">
        <v>59</v>
      </c>
    </row>
    <row r="18" spans="1:28" x14ac:dyDescent="0.35">
      <c r="A18" t="s">
        <v>71</v>
      </c>
      <c r="B18">
        <v>311316</v>
      </c>
      <c r="C18" s="1" t="s">
        <v>56</v>
      </c>
      <c r="D18" s="6">
        <v>4182701.5</v>
      </c>
      <c r="E18" s="1" t="s">
        <v>42</v>
      </c>
      <c r="F18">
        <v>204918</v>
      </c>
      <c r="G18" s="2">
        <v>45989</v>
      </c>
      <c r="H18" s="1" t="s">
        <v>26</v>
      </c>
      <c r="I18" s="1" t="s">
        <v>26</v>
      </c>
      <c r="J18">
        <v>23</v>
      </c>
      <c r="K18" s="1" t="s">
        <v>57</v>
      </c>
      <c r="L18" s="1" t="s">
        <v>26</v>
      </c>
      <c r="N18">
        <v>1</v>
      </c>
      <c r="O18" s="1" t="s">
        <v>26</v>
      </c>
      <c r="P18" s="1" t="s">
        <v>60</v>
      </c>
      <c r="Q18" s="1" t="s">
        <v>27</v>
      </c>
      <c r="R18" s="1" t="s">
        <v>26</v>
      </c>
      <c r="S18" s="1" t="s">
        <v>26</v>
      </c>
      <c r="T18" s="1" t="s">
        <v>28</v>
      </c>
      <c r="U18" s="1" t="s">
        <v>28</v>
      </c>
      <c r="V18">
        <v>1944417</v>
      </c>
      <c r="W18" s="1" t="s">
        <v>44</v>
      </c>
      <c r="X18" s="1" t="s">
        <v>26</v>
      </c>
      <c r="Y18" s="1" t="s">
        <v>26</v>
      </c>
      <c r="Z18" s="1" t="s">
        <v>26</v>
      </c>
      <c r="AA18" s="1" t="s">
        <v>59</v>
      </c>
    </row>
    <row r="19" spans="1:28" x14ac:dyDescent="0.35">
      <c r="A19" t="s">
        <v>71</v>
      </c>
      <c r="B19">
        <v>311316</v>
      </c>
      <c r="C19" s="1" t="s">
        <v>56</v>
      </c>
      <c r="D19" s="6">
        <v>2583156.54</v>
      </c>
      <c r="E19" s="1" t="s">
        <v>42</v>
      </c>
      <c r="F19">
        <v>204918</v>
      </c>
      <c r="G19" s="2">
        <v>45989</v>
      </c>
      <c r="H19" s="1" t="s">
        <v>26</v>
      </c>
      <c r="I19" s="1" t="s">
        <v>26</v>
      </c>
      <c r="J19">
        <v>25</v>
      </c>
      <c r="K19" s="1" t="s">
        <v>57</v>
      </c>
      <c r="L19" s="1" t="s">
        <v>26</v>
      </c>
      <c r="N19">
        <v>1</v>
      </c>
      <c r="O19" s="1" t="s">
        <v>26</v>
      </c>
      <c r="P19" s="1" t="s">
        <v>60</v>
      </c>
      <c r="Q19" s="1" t="s">
        <v>27</v>
      </c>
      <c r="R19" s="1" t="s">
        <v>26</v>
      </c>
      <c r="S19" s="1" t="s">
        <v>26</v>
      </c>
      <c r="T19" s="1" t="s">
        <v>28</v>
      </c>
      <c r="U19" s="1" t="s">
        <v>28</v>
      </c>
      <c r="V19">
        <v>1944417</v>
      </c>
      <c r="W19" s="1" t="s">
        <v>44</v>
      </c>
      <c r="X19" s="1" t="s">
        <v>26</v>
      </c>
      <c r="Y19" s="1" t="s">
        <v>26</v>
      </c>
      <c r="Z19" s="1" t="s">
        <v>26</v>
      </c>
      <c r="AA19" s="1" t="s">
        <v>59</v>
      </c>
    </row>
    <row r="20" spans="1:28" x14ac:dyDescent="0.35">
      <c r="A20" t="s">
        <v>71</v>
      </c>
      <c r="B20">
        <v>311317</v>
      </c>
      <c r="C20" s="1" t="s">
        <v>56</v>
      </c>
      <c r="D20" s="6">
        <v>3340950.02</v>
      </c>
      <c r="E20" s="1" t="s">
        <v>42</v>
      </c>
      <c r="F20">
        <v>204918</v>
      </c>
      <c r="G20" s="2">
        <v>45989</v>
      </c>
      <c r="H20" s="1" t="s">
        <v>26</v>
      </c>
      <c r="I20" s="1" t="s">
        <v>26</v>
      </c>
      <c r="J20">
        <v>27</v>
      </c>
      <c r="K20" s="1" t="s">
        <v>57</v>
      </c>
      <c r="L20" s="1" t="s">
        <v>26</v>
      </c>
      <c r="N20">
        <v>1</v>
      </c>
      <c r="O20" s="1" t="s">
        <v>26</v>
      </c>
      <c r="P20" s="1" t="s">
        <v>60</v>
      </c>
      <c r="Q20" s="1" t="s">
        <v>27</v>
      </c>
      <c r="R20" s="1" t="s">
        <v>26</v>
      </c>
      <c r="S20" s="1" t="s">
        <v>26</v>
      </c>
      <c r="T20" s="1" t="s">
        <v>28</v>
      </c>
      <c r="U20" s="1" t="s">
        <v>28</v>
      </c>
      <c r="V20">
        <v>1944417</v>
      </c>
      <c r="W20" s="1" t="s">
        <v>44</v>
      </c>
      <c r="X20" s="1" t="s">
        <v>26</v>
      </c>
      <c r="Y20" s="1" t="s">
        <v>26</v>
      </c>
      <c r="Z20" s="1" t="s">
        <v>26</v>
      </c>
      <c r="AA20" s="1" t="s">
        <v>59</v>
      </c>
    </row>
    <row r="21" spans="1:28" x14ac:dyDescent="0.35">
      <c r="A21" t="s">
        <v>71</v>
      </c>
      <c r="B21">
        <v>311317</v>
      </c>
      <c r="C21" s="1" t="s">
        <v>56</v>
      </c>
      <c r="D21" s="6">
        <v>9170241.9199999999</v>
      </c>
      <c r="E21" s="1" t="s">
        <v>42</v>
      </c>
      <c r="F21">
        <v>204918</v>
      </c>
      <c r="G21" s="2">
        <v>45989</v>
      </c>
      <c r="H21" s="1" t="s">
        <v>26</v>
      </c>
      <c r="I21" s="1" t="s">
        <v>26</v>
      </c>
      <c r="J21">
        <v>29</v>
      </c>
      <c r="K21" s="1" t="s">
        <v>57</v>
      </c>
      <c r="L21" s="1" t="s">
        <v>26</v>
      </c>
      <c r="N21">
        <v>1</v>
      </c>
      <c r="O21" s="1" t="s">
        <v>26</v>
      </c>
      <c r="P21" s="1" t="s">
        <v>60</v>
      </c>
      <c r="Q21" s="1" t="s">
        <v>27</v>
      </c>
      <c r="R21" s="1" t="s">
        <v>26</v>
      </c>
      <c r="S21" s="1" t="s">
        <v>26</v>
      </c>
      <c r="T21" s="1" t="s">
        <v>28</v>
      </c>
      <c r="U21" s="1" t="s">
        <v>28</v>
      </c>
      <c r="V21">
        <v>1944417</v>
      </c>
      <c r="W21" s="1" t="s">
        <v>44</v>
      </c>
      <c r="X21" s="1" t="s">
        <v>26</v>
      </c>
      <c r="Y21" s="1" t="s">
        <v>26</v>
      </c>
      <c r="Z21" s="1" t="s">
        <v>26</v>
      </c>
      <c r="AA21" s="1" t="s">
        <v>59</v>
      </c>
    </row>
    <row r="22" spans="1:28" x14ac:dyDescent="0.35">
      <c r="A22" t="s">
        <v>67</v>
      </c>
      <c r="B22">
        <v>466464</v>
      </c>
      <c r="C22" s="1" t="s">
        <v>61</v>
      </c>
      <c r="D22" s="6">
        <v>58994709.850000001</v>
      </c>
      <c r="E22" s="1" t="s">
        <v>62</v>
      </c>
      <c r="F22">
        <v>22306</v>
      </c>
      <c r="G22" s="2">
        <v>45982</v>
      </c>
      <c r="H22" s="1" t="s">
        <v>26</v>
      </c>
      <c r="I22" s="1" t="s">
        <v>26</v>
      </c>
      <c r="J22">
        <v>2</v>
      </c>
      <c r="K22" s="1" t="s">
        <v>48</v>
      </c>
      <c r="L22" s="1" t="s">
        <v>26</v>
      </c>
      <c r="O22" s="1" t="s">
        <v>26</v>
      </c>
      <c r="P22" s="1" t="s">
        <v>49</v>
      </c>
      <c r="Q22" s="1" t="s">
        <v>27</v>
      </c>
      <c r="R22" s="1" t="s">
        <v>26</v>
      </c>
      <c r="S22" s="1" t="s">
        <v>26</v>
      </c>
      <c r="T22" s="1" t="s">
        <v>35</v>
      </c>
      <c r="U22" s="1" t="s">
        <v>35</v>
      </c>
      <c r="V22">
        <v>1944480</v>
      </c>
      <c r="W22" s="1" t="s">
        <v>63</v>
      </c>
      <c r="X22" s="1" t="s">
        <v>26</v>
      </c>
      <c r="Y22" s="1" t="s">
        <v>26</v>
      </c>
      <c r="Z22" s="1" t="s">
        <v>26</v>
      </c>
      <c r="AA22" s="1" t="s">
        <v>50</v>
      </c>
      <c r="AB22">
        <v>15768.63</v>
      </c>
    </row>
    <row r="23" spans="1:28" x14ac:dyDescent="0.35">
      <c r="A23" t="s">
        <v>67</v>
      </c>
      <c r="B23">
        <v>466464</v>
      </c>
      <c r="C23" s="1" t="s">
        <v>51</v>
      </c>
      <c r="D23" s="6">
        <v>34718171.5</v>
      </c>
      <c r="E23" s="1" t="s">
        <v>62</v>
      </c>
      <c r="F23">
        <v>22306</v>
      </c>
      <c r="G23" s="2">
        <v>45982</v>
      </c>
      <c r="H23" s="1" t="s">
        <v>26</v>
      </c>
      <c r="I23" s="1" t="s">
        <v>26</v>
      </c>
      <c r="J23">
        <v>4</v>
      </c>
      <c r="K23" s="1" t="s">
        <v>48</v>
      </c>
      <c r="L23" s="1" t="s">
        <v>26</v>
      </c>
      <c r="O23" s="1" t="s">
        <v>26</v>
      </c>
      <c r="P23" s="1" t="s">
        <v>49</v>
      </c>
      <c r="Q23" s="1" t="s">
        <v>27</v>
      </c>
      <c r="R23" s="1" t="s">
        <v>26</v>
      </c>
      <c r="S23" s="1" t="s">
        <v>26</v>
      </c>
      <c r="T23" s="1" t="s">
        <v>35</v>
      </c>
      <c r="U23" s="1" t="s">
        <v>35</v>
      </c>
      <c r="V23">
        <v>1944480</v>
      </c>
      <c r="W23" s="1" t="s">
        <v>63</v>
      </c>
      <c r="X23" s="1" t="s">
        <v>26</v>
      </c>
      <c r="Y23" s="1" t="s">
        <v>26</v>
      </c>
      <c r="Z23" s="1" t="s">
        <v>26</v>
      </c>
      <c r="AA23" s="1" t="s">
        <v>50</v>
      </c>
      <c r="AB23">
        <v>9279.7800000000007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LIBIA STELLA LACHE HERAZO</cp:lastModifiedBy>
  <dcterms:created xsi:type="dcterms:W3CDTF">2025-12-01T20:33:53Z</dcterms:created>
  <dcterms:modified xsi:type="dcterms:W3CDTF">2025-12-02T12:39:56Z</dcterms:modified>
</cp:coreProperties>
</file>